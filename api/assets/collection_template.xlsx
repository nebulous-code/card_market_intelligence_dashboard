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2.xml" ContentType="application/vnd.openxmlformats-officedocument.spreadsheetml.pivotTable+xml"/>
  <Override PartName="/xl/tables/table8.xml" ContentType="application/vnd.openxmlformats-officedocument.spreadsheetml.table+xml"/>
  <Override PartName="/xl/queryTables/queryTable4.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9.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licalsi\Downloads\"/>
    </mc:Choice>
  </mc:AlternateContent>
  <xr:revisionPtr revIDLastSave="0" documentId="13_ncr:1_{C566DF9A-F011-42CC-8D3F-53A4B511BBE7}" xr6:coauthVersionLast="47" xr6:coauthVersionMax="47" xr10:uidLastSave="{00000000-0000-0000-0000-000000000000}"/>
  <bookViews>
    <workbookView xWindow="28680" yWindow="-120" windowWidth="29040" windowHeight="15720" activeTab="1" xr2:uid="{00000000-000D-0000-FFFF-FFFF00000000}"/>
  </bookViews>
  <sheets>
    <sheet name="About" sheetId="10" r:id="rId1"/>
    <sheet name="Dashboard" sheetId="9" r:id="rId2"/>
    <sheet name="Sets Ranked" sheetId="6" r:id="rId3"/>
    <sheet name="Cards Ranked" sheetId="5" r:id="rId4"/>
    <sheet name="Upgrade Cost" sheetId="11" r:id="rId5"/>
    <sheet name="Collection Details" sheetId="1" r:id="rId6"/>
    <sheet name="Condition Multipliers" sheetId="2" r:id="rId7"/>
    <sheet name="Historic Prices" sheetId="3" r:id="rId8"/>
    <sheet name="Card Prices" sheetId="4" r:id="rId9"/>
    <sheet name="qHistoricValue" sheetId="12" state="hidden" r:id="rId10"/>
    <sheet name="Dashboard Drivers" sheetId="8" state="hidden" r:id="rId11"/>
    <sheet name="Data" sheetId="7" state="hidden" r:id="rId12"/>
  </sheets>
  <definedNames>
    <definedName name="ExternalData_1" localSheetId="3" hidden="1">'Cards Ranked'!$A$1:$O$2</definedName>
    <definedName name="ExternalData_1" localSheetId="9" hidden="1">qHistoricValue!$A$1:$G$2</definedName>
    <definedName name="ExternalData_1" localSheetId="4" hidden="1">'Upgrade Cost'!$D$10:$M$11</definedName>
    <definedName name="ExternalData_2" localSheetId="2" hidden="1">'Sets Ranked'!$A$1:$F$2</definedName>
    <definedName name="ExternalData_3" localSheetId="11" hidden="1">Data!$A$1:$U$2</definedName>
    <definedName name="PricingStrategy">'Upgrade Cost'!$B$7</definedName>
    <definedName name="Slicer_condition">#N/A</definedName>
    <definedName name="Slicer_rarity">#N/A</definedName>
    <definedName name="Slicer_set_name">#N/A</definedName>
    <definedName name="TargetCondition">'Upgrade Cost'!$B$6</definedName>
  </definedNames>
  <calcPr calcId="191029"/>
  <pivotCaches>
    <pivotCache cacheId="6" r:id="rId13"/>
    <pivotCache cacheId="14" r:id="rId14"/>
    <pivotCache cacheId="18"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11" l="1"/>
  <c r="Q6" i="9"/>
  <c r="M6" i="9"/>
  <c r="I6" i="9"/>
  <c r="E6"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CB7340-CB18-4A0D-B1A9-066BB2F56271}" keepAlive="1" name="Query - qCardsRanked" description="Connection to the 'qCardsRanked' query in the workbook." type="5" refreshedVersion="8" background="1" refreshOnLoad="1" saveData="1">
    <dbPr connection="Provider=Microsoft.Mashup.OleDb.1;Data Source=$Workbook$;Location=qCardsRanked;Extended Properties=&quot;&quot;" command="SELECT * FROM [qCardsRanked]"/>
  </connection>
  <connection id="2" xr16:uid="{97B3EF89-1B0F-439D-82A2-8CDE28CA4156}" keepAlive="1" name="Query - qCollection" description="Connection to the 'qCollection' query in the workbook." type="5" refreshedVersion="8" background="1" refreshOnLoad="1" saveData="1">
    <dbPr connection="Provider=Microsoft.Mashup.OleDb.1;Data Source=$Workbook$;Location=qCollection;Extended Properties=&quot;&quot;" command="SELECT * FROM [qCollection]"/>
  </connection>
  <connection id="3" xr16:uid="{5D68DE64-C547-4CDB-BE20-4F50AA259FF1}" keepAlive="1" name="Query - qHistoric" description="Connection to the 'qHistoric' query in the workbook." type="5" refreshedVersion="0" background="1" refreshOnLoad="1" saveData="1">
    <dbPr connection="Provider=Microsoft.Mashup.OleDb.1;Data Source=$Workbook$;Location=qHistoric;Extended Properties=&quot;&quot;" command="SELECT * FROM [qHistoric]"/>
  </connection>
  <connection id="4" xr16:uid="{27DEB4BD-ED35-4C74-81D0-60E23C5EE866}" keepAlive="1" name="Query - qHistoricValue" description="Connection to the 'qHistoricValue' query in the workbook." type="5" refreshedVersion="8" background="1" refreshOnLoad="1" saveData="1">
    <dbPr connection="Provider=Microsoft.Mashup.OleDb.1;Data Source=$Workbook$;Location=qHistoricValue;Extended Properties=&quot;&quot;" command="SELECT * FROM [qHistoricValue]"/>
  </connection>
  <connection id="5" xr16:uid="{872674C4-7D44-4DFE-8CDF-FAF64C049F73}" keepAlive="1" name="Query - qMultipliers" description="Connection to the 'qMultipliers' query in the workbook." type="5" refreshedVersion="0" background="1" refreshOnLoad="1" saveData="1">
    <dbPr connection="Provider=Microsoft.Mashup.OleDb.1;Data Source=$Workbook$;Location=qMultipliers;Extended Properties=&quot;&quot;" command="SELECT * FROM [qMultipliers]"/>
  </connection>
  <connection id="6" xr16:uid="{14DC232B-8BD5-4AF6-9106-5A89CB1BE78D}" keepAlive="1" name="Query - qPrices" description="Connection to the 'qPrices' query in the workbook." type="5" refreshedVersion="0" background="1" refreshOnLoad="1" saveData="1">
    <dbPr connection="Provider=Microsoft.Mashup.OleDb.1;Data Source=$Workbook$;Location=qPrices;Extended Properties=&quot;&quot;" command="SELECT * FROM [qPrices]"/>
  </connection>
  <connection id="7" xr16:uid="{1F8D1F9E-0263-46E0-A2E6-AD5D553CD827}" keepAlive="1" name="Query - qSetsRanked" description="Connection to the 'qSetsRanked' query in the workbook." type="5" refreshedVersion="8" background="1" refreshOnLoad="1" saveData="1">
    <dbPr connection="Provider=Microsoft.Mashup.OleDb.1;Data Source=$Workbook$;Location=qSetsRanked;Extended Properties=&quot;&quot;" command="SELECT * FROM [qSetsRanked]"/>
  </connection>
  <connection id="8" xr16:uid="{4A602D6C-5C13-4668-B7FF-0566BD5916CB}" keepAlive="1" name="Query - qUpgradeCost" description="Connection to the 'qUpgradeCost' query in the workbook." type="5" refreshedVersion="8" background="1" refreshOnLoad="1" saveData="1">
    <dbPr connection="Provider=Microsoft.Mashup.OleDb.1;Data Source=$Workbook$;Location=qUpgradeCost;Extended Properties=&quot;&quot;" command="SELECT * FROM [qUpgradeCost]"/>
  </connection>
</connections>
</file>

<file path=xl/sharedStrings.xml><?xml version="1.0" encoding="utf-8"?>
<sst xmlns="http://schemas.openxmlformats.org/spreadsheetml/2006/main" count="283" uniqueCount="166">
  <si>
    <t>set_id</t>
  </si>
  <si>
    <t>set_name</t>
  </si>
  <si>
    <t>set_printed_total</t>
  </si>
  <si>
    <t>set_total_with_secrets</t>
  </si>
  <si>
    <t>card_id</t>
  </si>
  <si>
    <t>card_number</t>
  </si>
  <si>
    <t>card_name</t>
  </si>
  <si>
    <t>rarity</t>
  </si>
  <si>
    <t>supertype</t>
  </si>
  <si>
    <t>condition</t>
  </si>
  <si>
    <t>variant</t>
  </si>
  <si>
    <t>is_first_edition</t>
  </si>
  <si>
    <t>quantity</t>
  </si>
  <si>
    <t>purchase_price</t>
  </si>
  <si>
    <t>market_price</t>
  </si>
  <si>
    <t>total_value</t>
  </si>
  <si>
    <t>gain_dollar</t>
  </si>
  <si>
    <t>gain_percent</t>
  </si>
  <si>
    <t>pricing_warning</t>
  </si>
  <si>
    <t>NM</t>
  </si>
  <si>
    <t>grouping_type</t>
  </si>
  <si>
    <t>grouping_value</t>
  </si>
  <si>
    <t>from_condition</t>
  </si>
  <si>
    <t>to_condition</t>
  </si>
  <si>
    <t>multiplier</t>
  </si>
  <si>
    <t>data_points</t>
  </si>
  <si>
    <t>sample_date</t>
  </si>
  <si>
    <t>cards_owned</t>
  </si>
  <si>
    <t>completion_pct</t>
  </si>
  <si>
    <t>total_quantity</t>
  </si>
  <si>
    <t>Row Labels</t>
  </si>
  <si>
    <t>Grand Total</t>
  </si>
  <si>
    <t>Sum of total_value</t>
  </si>
  <si>
    <t>Count of card_id</t>
  </si>
  <si>
    <t>Sum of gain_dollar</t>
  </si>
  <si>
    <t>Top Gainers</t>
  </si>
  <si>
    <t>Value by Set</t>
  </si>
  <si>
    <t>Top Losers</t>
  </si>
  <si>
    <t>Standard</t>
  </si>
  <si>
    <t>Variant Counts (standard/blank removed)</t>
  </si>
  <si>
    <t>Average of gain_percent</t>
  </si>
  <si>
    <t>KPI Pivot</t>
  </si>
  <si>
    <t>Sum of quantity</t>
  </si>
  <si>
    <t>Only includes cards with purchase price</t>
  </si>
  <si>
    <t>Pokemon Card Market Intelligence</t>
  </si>
  <si>
    <t>Collection Report</t>
  </si>
  <si>
    <t>Generated by</t>
  </si>
  <si>
    <t>cards.nebulouscode.com</t>
  </si>
  <si>
    <t>Created by</t>
  </si>
  <si>
    <t>nebulous-code (github.com/nebulous-code)</t>
  </si>
  <si>
    <t>Source code</t>
  </si>
  <si>
    <t>https://github.com/nebulous-code/card_market_intelligence_dashboard</t>
  </si>
  <si>
    <t>WHAT THIS IS</t>
  </si>
  <si>
    <t>A snapshot of your Pokemon card collection, priced at current market rates and broken down by set, rarity, condition and variant.</t>
  </si>
  <si>
    <t>You uploaded a collection (or loaded the sample one) on the website, and the site filled the four data tables at the end of this workbook with your cards, their current prices, their price history, and the condition-multiplier reference data used for valuation.</t>
  </si>
  <si>
    <t>Everything else in this workbook -- the dashboard, the ranked sheets, every chart and slicer -- is built on top of those four tables with Power Query and pivot tables. Nothing here calls out to the internet.</t>
  </si>
  <si>
    <t>Card metadata comes from TCGdex. Pricing comes from Pokemon Price Tracker. Prices are a market estimate, not an appraisal or an offer to buy.</t>
  </si>
  <si>
    <t>BEFORE YOU START</t>
  </si>
  <si>
    <t>Click Enable Content</t>
  </si>
  <si>
    <t>Excel will warn that this workbook connects to an external data source. It does not. Every query reads tables inside this file. Excel shows that warning for any workbook containing Power Query, regardless of where the data lives, because all Power Query is routed through a database driver. Clicking Enable Content refreshes the sheets with your data.</t>
  </si>
  <si>
    <t>If numbers look empty or stale</t>
  </si>
  <si>
    <t>Go to Data then Refresh All. The workbook is set to refresh automatically on open, but that only runs once content is enabled.</t>
  </si>
  <si>
    <t>Do not edit the data tables</t>
  </si>
  <si>
    <t>The four sheets at the end are overwritten every time you download. Put your own notes on a new sheet instead.</t>
  </si>
  <si>
    <t>Prices update on download</t>
  </si>
  <si>
    <t>This file is a point-in-time snapshot. Download again for current prices.</t>
  </si>
  <si>
    <t>SHEET GUIDE</t>
  </si>
  <si>
    <t>Dashboard</t>
  </si>
  <si>
    <t>The summary view. Everything on it responds to the slicers.</t>
  </si>
  <si>
    <t>Total Value</t>
  </si>
  <si>
    <t>Market value of every card, quantity included.</t>
  </si>
  <si>
    <t>Total Cards</t>
  </si>
  <si>
    <t>Every physical copy you own, counting duplicates.</t>
  </si>
  <si>
    <t>Line Items</t>
  </si>
  <si>
    <t>Rows in your collection. A card held in two conditions is two line items but one card.</t>
  </si>
  <si>
    <t>Unrealized Gain</t>
  </si>
  <si>
    <t>Market value minus what you paid. Only covers cards where you supplied a purchase price, so it will not reconcile against Total Value.</t>
  </si>
  <si>
    <t>Share of total collection value held in each set.</t>
  </si>
  <si>
    <t>Variant Counts</t>
  </si>
  <si>
    <t>How many cards you hold of each printing type. Standard means the ordinary non-foil printing.</t>
  </si>
  <si>
    <t>The five cards that have appreciated most against your purchase price.</t>
  </si>
  <si>
    <t>The five cards that have depreciated most against your purchase price.</t>
  </si>
  <si>
    <t>Slicers</t>
  </si>
  <si>
    <t>Set, Rarity and Condition. Click to filter; ctrl-click for multiple; click the eraser icon on a slicer to clear it.</t>
  </si>
  <si>
    <t>Sets Ranked</t>
  </si>
  <si>
    <t>One row per set, ordered by how much of your collection value sits in it. Shows how close each set is to complete.</t>
  </si>
  <si>
    <t>The set.</t>
  </si>
  <si>
    <t>Distinct cards from that set. A card held in three conditions counts once.</t>
  </si>
  <si>
    <t>Cards in the main set, not counting secret rares.</t>
  </si>
  <si>
    <t>cards_owned divided by set_printed_total. Can exceed 100 percent, because secret rares are numbered beyond the printed total but still count as cards owned.</t>
  </si>
  <si>
    <t>Every copy you own from that set, duplicates included.</t>
  </si>
  <si>
    <t>Market value of your holdings from that set.</t>
  </si>
  <si>
    <t>Cards Ranked</t>
  </si>
  <si>
    <t>Every line item, most valuable first. The browsing view.</t>
  </si>
  <si>
    <t>The card.</t>
  </si>
  <si>
    <t>Set it belongs to.</t>
  </si>
  <si>
    <t>Rarity as published for that card.</t>
  </si>
  <si>
    <t>Condition you recorded: NM near mint, LP lightly played, MP moderately played, HP heavily played, DMG damaged.</t>
  </si>
  <si>
    <t>Printing type. Standard means the ordinary non-foil printing.</t>
  </si>
  <si>
    <t>TRUE if this is a first edition printing.</t>
  </si>
  <si>
    <t>How many copies at this condition and variant.</t>
  </si>
  <si>
    <t>What you paid per copy. Blank if you did not supply one.</t>
  </si>
  <si>
    <t>Current estimated market price per copy.</t>
  </si>
  <si>
    <t>market_price times quantity.</t>
  </si>
  <si>
    <t>total_value minus what you paid. Blank without a purchase price.</t>
  </si>
  <si>
    <t>Gain as a percentage of what you paid. Blank without a purchase price.</t>
  </si>
  <si>
    <t>TRUE means no exact price existed for that condition and variant, so the price was derived from a related one. Treat those values as softer estimates.</t>
  </si>
  <si>
    <t>Collection Details</t>
  </si>
  <si>
    <t>Source data, written by the website. One row per line item, with set and card metadata joined in.</t>
  </si>
  <si>
    <t>set_id, card_id</t>
  </si>
  <si>
    <t>Internal identifiers used to join the tables together.</t>
  </si>
  <si>
    <t>Collector number as printed on the card. Text, not a number, because secret rares use forms like SH4 and promos use XY199.</t>
  </si>
  <si>
    <t>Pokemon, Trainer or Energy.</t>
  </si>
  <si>
    <t>Cards in the set including secret rares.</t>
  </si>
  <si>
    <t>Other columns</t>
  </si>
  <si>
    <t>Same meaning as the matching columns on Cards Ranked.</t>
  </si>
  <si>
    <t>Condition Multipliers</t>
  </si>
  <si>
    <t>Source data. Observed price ratios between conditions, used to estimate a price when no direct sale data exists for the exact condition you own.</t>
  </si>
  <si>
    <t>Whether the ratio is grouped by rarity or by supertype.</t>
  </si>
  <si>
    <t>The specific rarity or supertype the ratio applies to.</t>
  </si>
  <si>
    <t>Condition the ratio starts from, usually NM.</t>
  </si>
  <si>
    <t>Condition the ratio converts to.</t>
  </si>
  <si>
    <t>Multiply the from_condition price by this to estimate the to_condition price. 0.62 means roughly 62 percent of NM value.</t>
  </si>
  <si>
    <t>How many observed sales the ratio is based on. Higher means more reliable.</t>
  </si>
  <si>
    <t>Historic Prices</t>
  </si>
  <si>
    <t>Source data. Twice-monthly price snapshots over roughly the last six months, for the cards you own.</t>
  </si>
  <si>
    <t>Date of the snapshot.</t>
  </si>
  <si>
    <t>Estimated market price on that date, for that card at that condition.</t>
  </si>
  <si>
    <t>Card Prices</t>
  </si>
  <si>
    <t>Source data. Current prices for the cards you own across every condition, not just the condition you hold. Supports comparing the cost of upgrading a card.</t>
  </si>
  <si>
    <t>The condition being priced.</t>
  </si>
  <si>
    <t>Current estimated market price at that condition.</t>
  </si>
  <si>
    <t>NOTES AND LIMITATIONS</t>
  </si>
  <si>
    <t>Gain needs a cost basis</t>
  </si>
  <si>
    <t>Any gain figure only covers cards where you supplied a purchase price. Cards without one are excluded from gain totals and from the gainers and losers charts.</t>
  </si>
  <si>
    <t>Derived prices</t>
  </si>
  <si>
    <t>Where pricing_warning is TRUE, the price was estimated from a related condition or variant using the multipliers. Real sale data was not available for that exact combination.</t>
  </si>
  <si>
    <t>Completion above 100 percent</t>
  </si>
  <si>
    <t>Completion measures against the printed set total. Secret rares are numbered beyond it, so owning them can push a set past 100 percent. This is expected.</t>
  </si>
  <si>
    <t>Estimates, not appraisals</t>
  </si>
  <si>
    <t>All prices are market estimates aggregated from sales data. They are not an appraisal, a guarantee, or an offer to buy.</t>
  </si>
  <si>
    <t>Sell at Market</t>
  </si>
  <si>
    <t>current_condition</t>
  </si>
  <si>
    <t>target_condition</t>
  </si>
  <si>
    <t>current_price</t>
  </si>
  <si>
    <t>target_price</t>
  </si>
  <si>
    <t>upgrade_cost</t>
  </si>
  <si>
    <t>price_source</t>
  </si>
  <si>
    <t>Sum of upgrade_cost</t>
  </si>
  <si>
    <t xml:space="preserve">Upgrade cost assumes you acquire a copy at the target condition for each card currently held below it, multiplied by quantity. Sell at Market nets out the market value of the copy you already own; Full Replacement Cost does not. Where a real price exists at the target condition it is used and marked Actual. Otherwise the price is estimated from observed condition multipliers for that set and rarity, and marked Inferred. Graded cards (PSA, BGS) are excluded — graded pricing does not track raw pricing. Cards with no usable price at the target condition are omitted rather than shown at zero.
</t>
  </si>
  <si>
    <t>Parameters</t>
  </si>
  <si>
    <t>After changing parameters click 
Data -&gt; Refresh All</t>
  </si>
  <si>
    <t>Target Condition:</t>
  </si>
  <si>
    <t>Pricing Strategy:</t>
  </si>
  <si>
    <t>Total Upgrade Cost:</t>
  </si>
  <si>
    <t>qty</t>
  </si>
  <si>
    <t>holding_value</t>
  </si>
  <si>
    <t>Sum of holding_value</t>
  </si>
  <si>
    <t>Total collection value snapshot bi-monthly. Limited to data available on cards.nebulouscode.com. Is not affected by dashboard slicers.</t>
  </si>
  <si>
    <t>(blank)</t>
  </si>
  <si>
    <t>price_missing</t>
  </si>
  <si>
    <t>price_missing_reason</t>
  </si>
  <si>
    <t>TRUE means there was no price missing for that set or card</t>
  </si>
  <si>
    <t>A detailed reason for why the price was missing for this card</t>
  </si>
  <si>
    <t>Contact</t>
  </si>
  <si>
    <t>me@nebulouscode.com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</si>
</sst>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yyyy\-mm\-dd"/>
    <numFmt numFmtId="165" formatCode="0.0%"/>
  </numFmts>
  <fonts count="9" x14ac:knownFonts="1">
    <font>
      <sz val="11"/>
      <color theme="1"/>
      <name val="Aptos"/>
      <family val="2"/>
      <scheme val="minor"/>
    </font>
    <font>
      <b/>
      <sz val="11"/>
      <color rgb="FFFFFFFF"/>
      <name val="Calibri"/>
      <family val="2"/>
    </font>
    <font>
      <sz val="11"/>
      <color theme="1"/>
      <name val="Aptos"/>
      <family val="2"/>
      <scheme val="minor"/>
    </font>
    <font>
      <sz val="11"/>
      <color theme="3"/>
      <name val="Aptos"/>
      <family val="2"/>
      <scheme val="minor"/>
    </font>
    <font>
      <sz val="11"/>
      <color theme="3" tint="0.749992370372631"/>
      <name val="Aptos"/>
      <family val="2"/>
      <scheme val="minor"/>
    </font>
    <font>
      <b/>
      <sz val="11"/>
      <color theme="1"/>
      <name val="Aptos"/>
      <family val="2"/>
      <scheme val="minor"/>
    </font>
    <font>
      <sz val="11"/>
      <color theme="0"/>
      <name val="Aptos"/>
      <family val="2"/>
      <scheme val="minor"/>
    </font>
    <font>
      <i/>
      <sz val="11"/>
      <color theme="4"/>
      <name val="Aptos"/>
      <family val="2"/>
      <scheme val="minor"/>
    </font>
    <font>
      <sz val="8"/>
      <name val="Aptos"/>
      <family val="2"/>
      <scheme val="minor"/>
    </font>
  </fonts>
  <fills count="8">
    <fill>
      <patternFill patternType="none"/>
    </fill>
    <fill>
      <patternFill patternType="gray125"/>
    </fill>
    <fill>
      <patternFill patternType="solid">
        <fgColor rgb="FF2A2A3E"/>
      </patternFill>
    </fill>
    <fill>
      <patternFill patternType="solid">
        <fgColor theme="3" tint="0.499984740745262"/>
        <bgColor indexed="64"/>
      </patternFill>
    </fill>
    <fill>
      <patternFill patternType="solid">
        <fgColor theme="7" tint="-0.249977111117893"/>
        <bgColor indexed="64"/>
      </patternFill>
    </fill>
    <fill>
      <patternFill patternType="solid">
        <fgColor theme="3" tint="0.749992370372631"/>
        <bgColor indexed="64"/>
      </patternFill>
    </fill>
    <fill>
      <patternFill patternType="solid">
        <fgColor theme="5"/>
        <bgColor indexed="64"/>
      </patternFill>
    </fill>
    <fill>
      <patternFill patternType="solid">
        <fgColor theme="3" tint="0.249977111117893"/>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7">
    <xf numFmtId="0" fontId="0" fillId="0" borderId="0" xfId="0"/>
    <xf numFmtId="0" fontId="1" fillId="2" borderId="0" xfId="0" applyFont="1" applyFill="1"/>
    <xf numFmtId="164" fontId="0" fillId="0" borderId="0" xfId="0" applyNumberFormat="1"/>
    <xf numFmtId="44" fontId="0" fillId="0" borderId="0" xfId="1" applyFont="1"/>
    <xf numFmtId="9" fontId="0" fillId="0" borderId="0" xfId="2" applyFont="1"/>
    <xf numFmtId="1" fontId="0" fillId="0" borderId="0" xfId="0" applyNumberFormat="1"/>
    <xf numFmtId="165" fontId="0" fillId="0" borderId="0" xfId="2" applyNumberFormat="1" applyFont="1"/>
    <xf numFmtId="0" fontId="0" fillId="0" borderId="0" xfId="0" pivotButton="1"/>
    <xf numFmtId="0" fontId="0" fillId="0" borderId="0" xfId="0" applyAlignment="1">
      <alignment horizontal="left"/>
    </xf>
    <xf numFmtId="0" fontId="3" fillId="0" borderId="0" xfId="0" applyFont="1"/>
    <xf numFmtId="165" fontId="3" fillId="0" borderId="0" xfId="2" applyNumberFormat="1" applyFont="1"/>
    <xf numFmtId="44" fontId="3" fillId="0" borderId="0" xfId="1" applyFont="1"/>
    <xf numFmtId="1" fontId="3" fillId="0" borderId="0" xfId="0" applyNumberFormat="1" applyFont="1"/>
    <xf numFmtId="9" fontId="3" fillId="0" borderId="0" xfId="2" applyFont="1"/>
    <xf numFmtId="44" fontId="0" fillId="0" borderId="0" xfId="0" applyNumberFormat="1"/>
    <xf numFmtId="9" fontId="0" fillId="0" borderId="0" xfId="0" applyNumberFormat="1"/>
    <xf numFmtId="0" fontId="0" fillId="3" borderId="0" xfId="0" applyFill="1"/>
    <xf numFmtId="0" fontId="0" fillId="4" borderId="0" xfId="0" applyFill="1"/>
    <xf numFmtId="44" fontId="0" fillId="4" borderId="0" xfId="1" applyFont="1" applyFill="1"/>
    <xf numFmtId="0" fontId="4" fillId="4" borderId="0" xfId="0" applyFont="1" applyFill="1"/>
    <xf numFmtId="0" fontId="0" fillId="5" borderId="0" xfId="0" applyFill="1"/>
    <xf numFmtId="0" fontId="0" fillId="5" borderId="0" xfId="0" applyFill="1" applyAlignment="1">
      <alignment horizontal="center"/>
    </xf>
    <xf numFmtId="0" fontId="0" fillId="5" borderId="0" xfId="0" applyFill="1" applyAlignment="1">
      <alignment horizontal="right" vertical="center"/>
    </xf>
    <xf numFmtId="44" fontId="6" fillId="4" borderId="0" xfId="0" applyNumberFormat="1" applyFont="1" applyFill="1" applyAlignment="1">
      <alignment horizontal="right" vertical="center"/>
    </xf>
    <xf numFmtId="0" fontId="5" fillId="5" borderId="1" xfId="0" applyFont="1" applyFill="1" applyBorder="1" applyAlignment="1">
      <alignment horizontal="center"/>
    </xf>
    <xf numFmtId="0" fontId="3" fillId="0" borderId="0" xfId="0" pivotButton="1" applyFont="1"/>
    <xf numFmtId="0" fontId="3" fillId="0" borderId="0" xfId="0" applyFont="1" applyAlignment="1">
      <alignment horizontal="left"/>
    </xf>
    <xf numFmtId="44" fontId="3" fillId="0" borderId="0" xfId="0" applyNumberFormat="1" applyFont="1"/>
    <xf numFmtId="0" fontId="0" fillId="7" borderId="0" xfId="0" applyFill="1"/>
    <xf numFmtId="0" fontId="5" fillId="6" borderId="2" xfId="0" applyFont="1" applyFill="1" applyBorder="1" applyAlignment="1">
      <alignment horizontal="center" vertical="center"/>
    </xf>
    <xf numFmtId="14" fontId="0" fillId="0" borderId="0" xfId="0" applyNumberFormat="1"/>
    <xf numFmtId="14" fontId="0" fillId="0" borderId="0" xfId="0" applyNumberFormat="1" applyAlignment="1">
      <alignment horizontal="left"/>
    </xf>
    <xf numFmtId="0" fontId="0" fillId="5" borderId="0" xfId="0" applyFill="1" applyAlignment="1">
      <alignment horizontal="center" wrapText="1"/>
    </xf>
    <xf numFmtId="0" fontId="0" fillId="5" borderId="0" xfId="0" applyFill="1" applyAlignment="1">
      <alignment horizontal="center"/>
    </xf>
    <xf numFmtId="0" fontId="7" fillId="5" borderId="0" xfId="0" applyFont="1" applyFill="1" applyAlignment="1">
      <alignment horizontal="center" vertical="top" wrapText="1"/>
    </xf>
    <xf numFmtId="0" fontId="0" fillId="0" borderId="0" xfId="0" applyNumberFormat="1"/>
    <xf numFmtId="0" fontId="0" fillId="0" borderId="0" xfId="0" applyFill="1"/>
  </cellXfs>
  <cellStyles count="3">
    <cellStyle name="Currency" xfId="1" builtinId="4"/>
    <cellStyle name="Normal" xfId="0" builtinId="0"/>
    <cellStyle name="Percent" xfId="2" builtinId="5"/>
  </cellStyles>
  <dxfs count="66">
    <dxf>
      <font>
        <color rgb="FF9C0006"/>
      </font>
      <fill>
        <patternFill>
          <bgColor rgb="FFFFC7CE"/>
        </patternFill>
      </fill>
    </dxf>
    <dxf>
      <font>
        <color rgb="FF9C0006"/>
      </font>
      <fill>
        <patternFill>
          <bgColor rgb="FFFFC7CE"/>
        </patternFill>
      </fill>
    </dxf>
    <dxf>
      <fill>
        <patternFill>
          <bgColor theme="5" tint="0.59996337778862885"/>
        </patternFill>
      </fill>
    </dxf>
    <dxf>
      <fill>
        <patternFill>
          <bgColor rgb="FFFFC000"/>
        </patternFill>
      </fill>
    </dxf>
    <dxf>
      <font>
        <color rgb="FF9C0006"/>
      </font>
      <fill>
        <patternFill>
          <bgColor rgb="FFFFC7CE"/>
        </patternFill>
      </fill>
    </dxf>
    <dxf>
      <font>
        <b val="0"/>
        <i val="0"/>
        <strike val="0"/>
        <condense val="0"/>
        <extend val="0"/>
        <outline val="0"/>
        <shadow val="0"/>
        <u val="none"/>
        <vertAlign val="baseline"/>
        <sz val="11"/>
        <color theme="1"/>
        <name val="Aptos"/>
        <family val="2"/>
        <scheme val="minor"/>
      </font>
    </dxf>
    <dxf>
      <numFmt numFmtId="165" formatCode="0.0%"/>
    </dxf>
    <dxf>
      <numFmt numFmtId="0" formatCode="General"/>
    </dxf>
    <dxf>
      <font>
        <b val="0"/>
        <i val="0"/>
        <strike val="0"/>
        <condense val="0"/>
        <extend val="0"/>
        <outline val="0"/>
        <shadow val="0"/>
        <u val="none"/>
        <vertAlign val="baseline"/>
        <sz val="11"/>
        <color theme="1"/>
        <name val="Aptos"/>
        <family val="2"/>
        <scheme val="minor"/>
      </font>
    </dxf>
    <dxf>
      <numFmt numFmtId="34" formatCode="_(&quot;$&quot;* #,##0.00_);_(&quot;$&quot;* \(#,##0.00\);_(&quot;$&quot;* &quot;-&quot;??_);_(@_)"/>
    </dxf>
    <dxf>
      <font>
        <b val="0"/>
        <i val="0"/>
        <strike val="0"/>
        <condense val="0"/>
        <extend val="0"/>
        <outline val="0"/>
        <shadow val="0"/>
        <u val="none"/>
        <vertAlign val="baseline"/>
        <sz val="11"/>
        <color theme="1"/>
        <name val="Aptos"/>
        <family val="2"/>
        <scheme val="minor"/>
      </font>
    </dxf>
    <dxf>
      <font>
        <b val="0"/>
        <i val="0"/>
        <strike val="0"/>
        <condense val="0"/>
        <extend val="0"/>
        <outline val="0"/>
        <shadow val="0"/>
        <u val="none"/>
        <vertAlign val="baseline"/>
        <sz val="11"/>
        <color theme="1"/>
        <name val="Aptos"/>
        <family val="2"/>
        <scheme val="minor"/>
      </font>
    </dxf>
    <dxf>
      <font>
        <b val="0"/>
        <i val="0"/>
        <strike val="0"/>
        <condense val="0"/>
        <extend val="0"/>
        <outline val="0"/>
        <shadow val="0"/>
        <u val="none"/>
        <vertAlign val="baseline"/>
        <sz val="11"/>
        <color theme="1"/>
        <name val="Aptos"/>
        <family val="2"/>
        <scheme val="minor"/>
      </font>
    </dxf>
    <dxf>
      <numFmt numFmtId="1" formatCode="0"/>
    </dxf>
    <dxf>
      <numFmt numFmtId="19" formatCode="m/d/yyyy"/>
    </dxf>
    <dxf>
      <font>
        <b val="0"/>
        <i val="0"/>
        <strike val="0"/>
        <condense val="0"/>
        <extend val="0"/>
        <outline val="0"/>
        <shadow val="0"/>
        <u val="none"/>
        <vertAlign val="baseline"/>
        <sz val="11"/>
        <color theme="1"/>
        <name val="Aptos"/>
        <family val="2"/>
        <scheme val="minor"/>
      </font>
    </dxf>
    <dxf>
      <font>
        <b val="0"/>
        <i val="0"/>
        <strike val="0"/>
        <condense val="0"/>
        <extend val="0"/>
        <outline val="0"/>
        <shadow val="0"/>
        <u val="none"/>
        <vertAlign val="baseline"/>
        <sz val="11"/>
        <color theme="1"/>
        <name val="Aptos"/>
        <family val="2"/>
        <scheme val="minor"/>
      </font>
    </dxf>
    <dxf>
      <font>
        <b val="0"/>
        <i val="0"/>
        <strike val="0"/>
        <condense val="0"/>
        <extend val="0"/>
        <outline val="0"/>
        <shadow val="0"/>
        <u val="none"/>
        <vertAlign val="baseline"/>
        <sz val="11"/>
        <color theme="1"/>
        <name val="Aptos"/>
        <family val="2"/>
        <scheme val="minor"/>
      </font>
    </dxf>
    <dxf>
      <numFmt numFmtId="0" formatCode="General"/>
    </dxf>
    <dxf>
      <numFmt numFmtId="0" formatCode="General"/>
    </dxf>
    <dxf>
      <font>
        <b val="0"/>
        <i val="0"/>
        <strike val="0"/>
        <condense val="0"/>
        <extend val="0"/>
        <outline val="0"/>
        <shadow val="0"/>
        <u val="none"/>
        <vertAlign val="baseline"/>
        <sz val="11"/>
        <color theme="1"/>
        <name val="Aptos"/>
        <family val="2"/>
        <scheme val="minor"/>
      </font>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13" formatCode="0%"/>
    </dxf>
    <dxf>
      <numFmt numFmtId="13" formatCode="0%"/>
    </dxf>
    <dxf>
      <numFmt numFmtId="34" formatCode="_(&quot;$&quot;* #,##0.00_);_(&quot;$&quot;* \(#,##0.00\);_(&quot;$&quot;* &quot;-&quot;??_);_(@_)"/>
    </dxf>
    <dxf>
      <font>
        <color theme="3"/>
      </font>
    </dxf>
    <dxf>
      <font>
        <color theme="3"/>
      </font>
    </dxf>
    <dxf>
      <font>
        <color theme="3"/>
      </font>
    </dxf>
    <dxf>
      <font>
        <color theme="3"/>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13" formatCode="0%"/>
    </dxf>
    <dxf>
      <numFmt numFmtId="13" formatCode="0%"/>
    </dxf>
    <dxf>
      <numFmt numFmtId="34" formatCode="_(&quot;$&quot;* #,##0.00_);_(&quot;$&quot;* \(#,##0.00\);_(&quot;$&quot;* &quot;-&quot;??_);_(@_)"/>
    </dxf>
    <dxf>
      <numFmt numFmtId="34" formatCode="_(&quot;$&quot;* #,##0.00_);_(&quot;$&quot;* \(#,##0.00\);_(&quot;$&quot;* &quot;-&quot;??_);_(@_)"/>
    </dxf>
    <dxf>
      <numFmt numFmtId="13" formatCode="0%"/>
    </dxf>
    <dxf>
      <numFmt numFmtId="13" formatCode="0%"/>
    </dxf>
    <dxf>
      <numFmt numFmtId="34" formatCode="_(&quot;$&quot;* #,##0.00_);_(&quot;$&quot;* \(#,##0.00\);_(&quot;$&quot;* &quot;-&quot;??_);_(@_)"/>
    </dxf>
    <dxf>
      <numFmt numFmtId="0" formatCode="General"/>
    </dxf>
    <dxf>
      <numFmt numFmtId="0" formatCode="General"/>
    </dxf>
    <dxf>
      <numFmt numFmtId="0" formatCode="General"/>
    </dxf>
    <dxf>
      <font>
        <strike val="0"/>
        <outline val="0"/>
        <shadow val="0"/>
        <u val="none"/>
        <vertAlign val="baseline"/>
        <sz val="11"/>
        <color theme="3"/>
        <name val="Aptos"/>
        <family val="2"/>
        <scheme val="minor"/>
      </font>
    </dxf>
    <dxf>
      <font>
        <color theme="3"/>
      </font>
    </dxf>
    <dxf>
      <font>
        <color theme="3"/>
      </font>
    </dxf>
    <dxf>
      <font>
        <color theme="3"/>
      </font>
    </dxf>
    <dxf>
      <font>
        <color theme="3"/>
      </font>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1"/>
        <color theme="3"/>
        <name val="Aptos"/>
        <family val="2"/>
        <scheme val="minor"/>
      </font>
    </dxf>
    <dxf>
      <numFmt numFmtId="0" formatCode="General"/>
    </dxf>
    <dxf>
      <font>
        <strike val="0"/>
        <outline val="0"/>
        <shadow val="0"/>
        <u val="none"/>
        <vertAlign val="baseline"/>
        <sz val="11"/>
        <color theme="3"/>
        <name val="Aptos"/>
        <family val="2"/>
        <scheme val="minor"/>
      </font>
    </dxf>
  </dxfs>
  <tableStyles count="0" defaultTableStyle="TableStyleMedium9" defaultPivotStyle="PivotStyleLight16"/>
  <colors>
    <mruColors>
      <color rgb="FFF5C8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[collection_template.xlsx]Dashboard Drivers!PivotTable1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Value by Set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'Dashboard Drivers'!$D$3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BB-4CBB-A232-1BF91C456D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BB-4CBB-A232-1BF91C456D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BB-4CBB-A232-1BF91C456D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6BB-4CBB-A232-1BF91C456D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Drivers'!$C$4:$C$5</c:f>
              <c:strCache>
                <c:ptCount val="1"/>
                <c:pt idx="0">
                  <c:v>(blank)</c:v>
                </c:pt>
              </c:strCache>
            </c:strRef>
          </c:cat>
          <c:val>
            <c:numRef>
              <c:f>'Dashboard Drivers'!$D$4:$D$5</c:f>
              <c:numCache>
                <c:formatCode>_("$"* #,##0.00_);_("$"* \(#,##0.00\);_("$"* "-"??_);_(@_)</c:formatCode>
                <c:ptCount val="1"/>
              </c:numCache>
            </c:numRef>
          </c:val>
          <c:extLst>
            <c:ext xmlns:c16="http://schemas.microsoft.com/office/drawing/2014/chart" uri="{C3380CC4-5D6E-409C-BE32-E72D297353CC}">
              <c16:uniqueId val="{00000008-86BB-4CBB-A232-1BF91C456D6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[collection_template.xlsx]Dashboard Drivers!PivotTable2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Variant Counts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Drivers'!$H$3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Drivers'!$G$4</c:f>
              <c:strCache>
                <c:ptCount val="1"/>
                <c:pt idx="0">
                  <c:v>Grand Total</c:v>
                </c:pt>
              </c:strCache>
            </c:strRef>
          </c:cat>
          <c:val>
            <c:numRef>
              <c:f>'Dashboard Drivers'!$H$4</c:f>
              <c:numCache>
                <c:formatCode>General</c:formatCode>
                <c:ptCount val="1"/>
                <c:pt idx="0">
                  <c:v>0</c:v>
                </c:pt>
              </c:numCache>
            </c:numRef>
          </c:val>
          <c:extLst>
            <c:ext xmlns:c16="http://schemas.microsoft.com/office/drawing/2014/chart" uri="{C3380CC4-5D6E-409C-BE32-E72D297353CC}">
              <c16:uniqueId val="{00000000-80A4-4BAF-90BA-51348C50283B}"/>
            </c:ext>
          </c:extLst>
        </c:ser>
        <c:dLbls>
          <c:dLblPos val="outEnd"/>
          <c:showLegendKey val="0"/>
          <c:showVal val="1"/>
          <c:showCatName val="0"/>
          <c:showSerName val="0"/>
          <c:showPercent val="0"/>
          <c:showBubbleSize val="0"/>
        </c:dLbls>
        <c:gapWidth val="100"/>
        <c:overlap val="-27"/>
        <c:axId val="838429696"/>
        <c:axId val="834588400"/>
      </c:barChart>
      <c:catAx>
        <c:axId val="83842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588400"/>
        <c:crosses val="autoZero"/>
        <c:auto val="1"/>
        <c:lblAlgn val="ctr"/>
        <c:lblOffset val="100"/>
        <c:noMultiLvlLbl val="0"/>
      </c:catAx>
      <c:valAx>
        <c:axId val="83458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42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[collection_template.xlsx]Dashboard Drivers!PivotTable3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Gainers</a:t>
            </a:r>
            <a:endParaRPr lang="en-US"/>
          </a:p>
        </c:rich>
      </c:tx>
      <c:layout>
        <c:manualLayout>
          <c:xMode val="edge"/>
          <c:yMode val="edge"/>
          <c:x val="0.3965277777777777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marker>
          <c:symbol val="none"/>
        </c:marker>
        <c:dLbl>
          <c:idx val="0"/>
          <c:spPr>
            <a:solidFill>
              <a:schemeClr val="bg2">
                <a:alpha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Drivers'!$D$15</c:f>
              <c:strCache>
                <c:ptCount val="1"/>
                <c:pt idx="0">
                  <c:v>Sum of gain_dollar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Drivers'!$C$16:$C$17</c:f>
              <c:strCache>
                <c:ptCount val="1"/>
                <c:pt idx="0">
                  <c:v>(blank)</c:v>
                </c:pt>
              </c:strCache>
            </c:strRef>
          </c:cat>
          <c:val>
            <c:numRef>
              <c:f>'Dashboard Drivers'!$D$16:$D$17</c:f>
              <c:numCache>
                <c:formatCode>_("$"* #,##0.00_);_("$"* \(#,##0.00\);_("$"* "-"??_);_(@_)</c:formatCode>
                <c:ptCount val="1"/>
              </c:numCache>
            </c:numRef>
          </c:val>
          <c:extLst>
            <c:ext xmlns:c16="http://schemas.microsoft.com/office/drawing/2014/chart" uri="{C3380CC4-5D6E-409C-BE32-E72D297353CC}">
              <c16:uniqueId val="{00000000-52A8-4571-B607-655A578AE7BA}"/>
            </c:ext>
          </c:extLst>
        </c:ser>
        <c:ser>
          <c:idx val="1"/>
          <c:order val="1"/>
          <c:tx>
            <c:strRef>
              <c:f>'Dashboard Drivers'!$E$15</c:f>
              <c:strCache>
                <c:ptCount val="1"/>
                <c:pt idx="0">
                  <c:v>Average of gain_percent</c:v>
                </c:pt>
              </c:strCache>
            </c:strRef>
          </c:tx>
          <c:spPr>
            <a:noFill/>
            <a:ln>
              <a:noFill/>
            </a:ln>
            <a:effectLst/>
          </c:spPr>
          <c:invertIfNegative val="0"/>
          <c:dLbls>
            <c:spPr>
              <a:solidFill>
                <a:schemeClr val="bg2">
                  <a:alpha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Drivers'!$C$16:$C$17</c:f>
              <c:strCache>
                <c:ptCount val="1"/>
                <c:pt idx="0">
                  <c:v>(blank)</c:v>
                </c:pt>
              </c:strCache>
            </c:strRef>
          </c:cat>
          <c:val>
            <c:numRef>
              <c:f>'Dashboard Drivers'!$E$16:$E$17</c:f>
              <c:numCache>
                <c:formatCode>0%</c:formatCode>
                <c:ptCount val="1"/>
              </c:numCache>
            </c:numRef>
          </c:val>
          <c:extLst>
            <c:ext xmlns:c16="http://schemas.microsoft.com/office/drawing/2014/chart" uri="{C3380CC4-5D6E-409C-BE32-E72D297353CC}">
              <c16:uniqueId val="{00000001-52A8-4571-B607-655A578AE7BA}"/>
            </c:ext>
          </c:extLst>
        </c:ser>
        <c:dLbls>
          <c:showLegendKey val="0"/>
          <c:showVal val="0"/>
          <c:showCatName val="0"/>
          <c:showSerName val="0"/>
          <c:showPercent val="0"/>
          <c:showBubbleSize val="0"/>
        </c:dLbls>
        <c:gapWidth val="100"/>
        <c:overlap val="100"/>
        <c:axId val="838483056"/>
        <c:axId val="834534640"/>
      </c:barChart>
      <c:catAx>
        <c:axId val="83848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534640"/>
        <c:crosses val="autoZero"/>
        <c:auto val="1"/>
        <c:lblAlgn val="ctr"/>
        <c:lblOffset val="100"/>
        <c:noMultiLvlLbl val="0"/>
      </c:catAx>
      <c:valAx>
        <c:axId val="8345346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48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[collection_template.xlsx]Dashboard Drivers!PivotTable5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Losers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5C842">
              <a:alpha val="0"/>
            </a:srgbClr>
          </a:solidFill>
          <a:ln>
            <a:noFill/>
          </a:ln>
          <a:effectLst/>
        </c:spPr>
        <c:marker>
          <c:symbol val="none"/>
        </c:marker>
        <c:dLbl>
          <c:idx val="0"/>
          <c:spPr>
            <a:solidFill>
              <a:schemeClr val="bg2">
                <a:alpha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Drivers'!$H$15</c:f>
              <c:strCache>
                <c:ptCount val="1"/>
                <c:pt idx="0">
                  <c:v>Sum of gain_dollar</c:v>
                </c:pt>
              </c:strCache>
            </c:strRef>
          </c:tx>
          <c:spPr>
            <a:solidFill>
              <a:schemeClr val="accent1"/>
            </a:solidFill>
            <a:ln>
              <a:solidFill>
                <a:schemeClr val="accent1">
                  <a:alpha val="94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Drivers'!$G$16:$G$17</c:f>
              <c:strCache>
                <c:ptCount val="1"/>
                <c:pt idx="0">
                  <c:v>(blank)</c:v>
                </c:pt>
              </c:strCache>
            </c:strRef>
          </c:cat>
          <c:val>
            <c:numRef>
              <c:f>'Dashboard Drivers'!$H$16:$H$17</c:f>
              <c:numCache>
                <c:formatCode>_("$"* #,##0.00_);_("$"* \(#,##0.00\);_("$"* "-"??_);_(@_)</c:formatCode>
                <c:ptCount val="1"/>
              </c:numCache>
            </c:numRef>
          </c:val>
          <c:extLst>
            <c:ext xmlns:c16="http://schemas.microsoft.com/office/drawing/2014/chart" uri="{C3380CC4-5D6E-409C-BE32-E72D297353CC}">
              <c16:uniqueId val="{00000000-8A54-435E-AB9E-BABCCFCAB602}"/>
            </c:ext>
          </c:extLst>
        </c:ser>
        <c:ser>
          <c:idx val="1"/>
          <c:order val="1"/>
          <c:tx>
            <c:strRef>
              <c:f>'Dashboard Drivers'!$I$15</c:f>
              <c:strCache>
                <c:ptCount val="1"/>
                <c:pt idx="0">
                  <c:v>Average of gain_percent</c:v>
                </c:pt>
              </c:strCache>
            </c:strRef>
          </c:tx>
          <c:spPr>
            <a:solidFill>
              <a:srgbClr val="F5C842">
                <a:alpha val="0"/>
              </a:srgbClr>
            </a:solidFill>
            <a:ln>
              <a:noFill/>
            </a:ln>
            <a:effectLst/>
          </c:spPr>
          <c:invertIfNegative val="0"/>
          <c:dLbls>
            <c:spPr>
              <a:solidFill>
                <a:schemeClr val="bg2">
                  <a:alpha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Drivers'!$G$16:$G$17</c:f>
              <c:strCache>
                <c:ptCount val="1"/>
                <c:pt idx="0">
                  <c:v>(blank)</c:v>
                </c:pt>
              </c:strCache>
            </c:strRef>
          </c:cat>
          <c:val>
            <c:numRef>
              <c:f>'Dashboard Drivers'!$I$16:$I$17</c:f>
              <c:numCache>
                <c:formatCode>0%</c:formatCode>
                <c:ptCount val="1"/>
              </c:numCache>
            </c:numRef>
          </c:val>
          <c:extLst>
            <c:ext xmlns:c16="http://schemas.microsoft.com/office/drawing/2014/chart" uri="{C3380CC4-5D6E-409C-BE32-E72D297353CC}">
              <c16:uniqueId val="{00000001-8A54-435E-AB9E-BABCCFCAB602}"/>
            </c:ext>
          </c:extLst>
        </c:ser>
        <c:dLbls>
          <c:dLblPos val="outEnd"/>
          <c:showLegendKey val="0"/>
          <c:showVal val="1"/>
          <c:showCatName val="0"/>
          <c:showSerName val="0"/>
          <c:showPercent val="0"/>
          <c:showBubbleSize val="0"/>
        </c:dLbls>
        <c:gapWidth val="100"/>
        <c:overlap val="100"/>
        <c:axId val="1732772864"/>
        <c:axId val="834583600"/>
      </c:barChart>
      <c:catAx>
        <c:axId val="1732772864"/>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583600"/>
        <c:crosses val="autoZero"/>
        <c:auto val="1"/>
        <c:lblAlgn val="ctr"/>
        <c:lblOffset val="100"/>
        <c:noMultiLvlLbl val="0"/>
      </c:catAx>
      <c:valAx>
        <c:axId val="83458360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77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[collection_template.xlsx]qHistoricValue!PivotTable1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Collection Value Over</a:t>
            </a:r>
            <a:r>
              <a:rPr lang="en-US" baseline="0"/>
              <a:t>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qHistoricValue!$J$1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qHistoricValue!$I$2:$I$3</c:f>
              <c:strCache>
                <c:ptCount val="1"/>
                <c:pt idx="0">
                  <c:v>(blank)</c:v>
                </c:pt>
              </c:strCache>
            </c:strRef>
          </c:cat>
          <c:val>
            <c:numRef>
              <c:f>qHistoricValue!$J$2:$J$3</c:f>
              <c:numCache>
                <c:formatCode>General</c:formatCode>
                <c:ptCount val="1"/>
              </c:numCache>
            </c:numRef>
          </c:val>
          <c:smooth val="0"/>
          <c:extLst>
            <c:ext xmlns:c16="http://schemas.microsoft.com/office/drawing/2014/chart" uri="{C3380CC4-5D6E-409C-BE32-E72D297353CC}">
              <c16:uniqueId val="{00000000-8163-4F2B-9393-E3437EDE2ADB}"/>
            </c:ext>
          </c:extLst>
        </c:ser>
        <c:dLbls>
          <c:showLegendKey val="0"/>
          <c:showVal val="0"/>
          <c:showCatName val="0"/>
          <c:showSerName val="0"/>
          <c:showPercent val="0"/>
          <c:showBubbleSize val="0"/>
        </c:dLbls>
        <c:marker val="1"/>
        <c:smooth val="0"/>
        <c:axId val="686066080"/>
        <c:axId val="1640729328"/>
      </c:lineChart>
      <c:catAx>
        <c:axId val="68606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729328"/>
        <c:crosses val="autoZero"/>
        <c:auto val="1"/>
        <c:lblAlgn val="ctr"/>
        <c:lblOffset val="100"/>
        <c:noMultiLvlLbl val="0"/>
      </c:catAx>
      <c:valAx>
        <c:axId val="16407293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06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66675</xdr:colOff>
      <xdr:row>12</xdr:row>
      <xdr:rowOff>85725</xdr:rowOff>
    </xdr:from>
    <xdr:to>
      <xdr:col>10</xdr:col>
      <xdr:colOff>85725</xdr:colOff>
      <xdr:row>27</xdr:row>
      <xdr:rowOff>66675</xdr:rowOff>
    </xdr:to>
    <xdr:graphicFrame macro="">
      <xdr:nvGraphicFramePr>
        <xdr:cNvPr id="2" name="Chart 1">
          <a:extLst>
            <a:ext uri="{FF2B5EF4-FFF2-40B4-BE49-F238E27FC236}">
              <a16:creationId xmlns:a16="http://schemas.microsoft.com/office/drawing/2014/main" id="{3445745E-EE1E-4C4C-A499-DC4BEF5A5D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123825</xdr:colOff>
      <xdr:row>6</xdr:row>
      <xdr:rowOff>19050</xdr:rowOff>
    </xdr:from>
    <xdr:to>
      <xdr:col>2</xdr:col>
      <xdr:colOff>581025</xdr:colOff>
      <xdr:row>23</xdr:row>
      <xdr:rowOff>123825</xdr:rowOff>
    </xdr:to>
    <mc:AlternateContent xmlns:mc="http://schemas.openxmlformats.org/markup-compatibility/2006" xmlns:a14="http://schemas.microsoft.com/office/drawing/2010/main">
      <mc:Choice Requires="a14">
        <xdr:graphicFrame macro="">
          <xdr:nvGraphicFramePr>
            <xdr:cNvPr id="3" name="set_name 1">
              <a:extLst>
                <a:ext uri="{FF2B5EF4-FFF2-40B4-BE49-F238E27FC236}">
                  <a16:creationId xmlns:a16="http://schemas.microsoft.com/office/drawing/2014/main" id="{C86C892D-2FF3-4397-8B24-7C2BE5FF667B}"/>
                </a:ext>
              </a:extLst>
            </xdr:cNvPr>
            <xdr:cNvGraphicFramePr/>
          </xdr:nvGraphicFramePr>
          <xdr:xfrm>
            <a:off x="0" y="0"/>
            <a:ext cx="0" cy="0"/>
          </xdr:xfrm>
          <a:graphic>
            <a:graphicData uri="http://schemas.microsoft.com/office/drawing/2010/slicer">
              <sle:slicer xmlns:sle="http://schemas.microsoft.com/office/drawing/2010/slicer" name="set_name 1"/>
            </a:graphicData>
          </a:graphic>
        </xdr:graphicFrame>
      </mc:Choice>
      <mc:Fallback xmlns="">
        <xdr:sp macro="" textlink="">
          <xdr:nvSpPr>
            <xdr:cNvPr id="0" name=""/>
            <xdr:cNvSpPr>
              <a:spLocks noTextEdit="1"/>
            </xdr:cNvSpPr>
          </xdr:nvSpPr>
          <xdr:spPr>
            <a:xfrm>
              <a:off x="123825" y="1162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314324</xdr:colOff>
      <xdr:row>12</xdr:row>
      <xdr:rowOff>85725</xdr:rowOff>
    </xdr:from>
    <xdr:to>
      <xdr:col>17</xdr:col>
      <xdr:colOff>304799</xdr:colOff>
      <xdr:row>27</xdr:row>
      <xdr:rowOff>66675</xdr:rowOff>
    </xdr:to>
    <xdr:graphicFrame macro="">
      <xdr:nvGraphicFramePr>
        <xdr:cNvPr id="4" name="Chart 3">
          <a:extLst>
            <a:ext uri="{FF2B5EF4-FFF2-40B4-BE49-F238E27FC236}">
              <a16:creationId xmlns:a16="http://schemas.microsoft.com/office/drawing/2014/main" id="{C84CE5CB-D8A5-47A6-B61B-5F49ACF44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85725</xdr:colOff>
      <xdr:row>28</xdr:row>
      <xdr:rowOff>85725</xdr:rowOff>
    </xdr:from>
    <xdr:to>
      <xdr:col>10</xdr:col>
      <xdr:colOff>95250</xdr:colOff>
      <xdr:row>45</xdr:row>
      <xdr:rowOff>76200</xdr:rowOff>
    </xdr:to>
    <xdr:graphicFrame macro="">
      <xdr:nvGraphicFramePr>
        <xdr:cNvPr id="5" name="Chart 4">
          <a:extLst>
            <a:ext uri="{FF2B5EF4-FFF2-40B4-BE49-F238E27FC236}">
              <a16:creationId xmlns:a16="http://schemas.microsoft.com/office/drawing/2014/main" id="{C9F062D4-9B94-4492-840F-FDC94D7795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304799</xdr:colOff>
      <xdr:row>28</xdr:row>
      <xdr:rowOff>104775</xdr:rowOff>
    </xdr:from>
    <xdr:to>
      <xdr:col>17</xdr:col>
      <xdr:colOff>295274</xdr:colOff>
      <xdr:row>45</xdr:row>
      <xdr:rowOff>85724</xdr:rowOff>
    </xdr:to>
    <xdr:graphicFrame macro="">
      <xdr:nvGraphicFramePr>
        <xdr:cNvPr id="6" name="Chart 5">
          <a:extLst>
            <a:ext uri="{FF2B5EF4-FFF2-40B4-BE49-F238E27FC236}">
              <a16:creationId xmlns:a16="http://schemas.microsoft.com/office/drawing/2014/main" id="{A4FD8398-19EA-4DFD-A3FB-C4A7ADF5E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571500</xdr:colOff>
      <xdr:row>0</xdr:row>
      <xdr:rowOff>66675</xdr:rowOff>
    </xdr:from>
    <xdr:ext cx="6168548" cy="718530"/>
    <xdr:sp macro="" textlink="">
      <xdr:nvSpPr>
        <xdr:cNvPr id="7" name="TextBox 6">
          <a:extLst>
            <a:ext uri="{FF2B5EF4-FFF2-40B4-BE49-F238E27FC236}">
              <a16:creationId xmlns:a16="http://schemas.microsoft.com/office/drawing/2014/main" id="{20ED7C3D-E4A9-FF2A-B7A1-FBB9537CA472}"/>
            </a:ext>
          </a:extLst>
        </xdr:cNvPr>
        <xdr:cNvSpPr txBox="1"/>
      </xdr:nvSpPr>
      <xdr:spPr>
        <a:xfrm>
          <a:off x="4000500" y="66675"/>
          <a:ext cx="6168548"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4000">
              <a:solidFill>
                <a:schemeClr val="accent2"/>
              </a:solidFill>
            </a:rPr>
            <a:t>Your Collection Dashboard</a:t>
          </a:r>
        </a:p>
      </xdr:txBody>
    </xdr:sp>
    <xdr:clientData/>
  </xdr:oneCellAnchor>
  <xdr:oneCellAnchor>
    <xdr:from>
      <xdr:col>0</xdr:col>
      <xdr:colOff>57150</xdr:colOff>
      <xdr:row>4</xdr:row>
      <xdr:rowOff>19050</xdr:rowOff>
    </xdr:from>
    <xdr:ext cx="1945789" cy="342786"/>
    <xdr:sp macro="" textlink="">
      <xdr:nvSpPr>
        <xdr:cNvPr id="8" name="TextBox 7">
          <a:extLst>
            <a:ext uri="{FF2B5EF4-FFF2-40B4-BE49-F238E27FC236}">
              <a16:creationId xmlns:a16="http://schemas.microsoft.com/office/drawing/2014/main" id="{81235352-696E-4CD1-844E-21C172B9B755}"/>
            </a:ext>
          </a:extLst>
        </xdr:cNvPr>
        <xdr:cNvSpPr txBox="1"/>
      </xdr:nvSpPr>
      <xdr:spPr>
        <a:xfrm>
          <a:off x="57150" y="781050"/>
          <a:ext cx="194578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a:solidFill>
                <a:schemeClr val="accent2"/>
              </a:solidFill>
            </a:rPr>
            <a:t>Generated</a:t>
          </a:r>
          <a:r>
            <a:rPr lang="en-US" sz="800" baseline="0">
              <a:solidFill>
                <a:schemeClr val="accent2"/>
              </a:solidFill>
            </a:rPr>
            <a:t> by cards.nebulouscode.com</a:t>
          </a:r>
        </a:p>
        <a:p>
          <a:r>
            <a:rPr lang="en-US" sz="800" baseline="0">
              <a:solidFill>
                <a:schemeClr val="accent2"/>
              </a:solidFill>
            </a:rPr>
            <a:t>Designed by nebulous-code</a:t>
          </a:r>
        </a:p>
      </xdr:txBody>
    </xdr:sp>
    <xdr:clientData/>
  </xdr:oneCellAnchor>
  <xdr:twoCellAnchor>
    <xdr:from>
      <xdr:col>3</xdr:col>
      <xdr:colOff>95249</xdr:colOff>
      <xdr:row>4</xdr:row>
      <xdr:rowOff>85725</xdr:rowOff>
    </xdr:from>
    <xdr:to>
      <xdr:col>6</xdr:col>
      <xdr:colOff>333374</xdr:colOff>
      <xdr:row>11</xdr:row>
      <xdr:rowOff>47625</xdr:rowOff>
    </xdr:to>
    <xdr:sp macro="" textlink="$E$6">
      <xdr:nvSpPr>
        <xdr:cNvPr id="9" name="Rectangle: Rounded Corners 8">
          <a:extLst>
            <a:ext uri="{FF2B5EF4-FFF2-40B4-BE49-F238E27FC236}">
              <a16:creationId xmlns:a16="http://schemas.microsoft.com/office/drawing/2014/main" id="{20D8DAE3-7A07-1CF5-8545-232AA8F5E94D}"/>
            </a:ext>
          </a:extLst>
        </xdr:cNvPr>
        <xdr:cNvSpPr/>
      </xdr:nvSpPr>
      <xdr:spPr>
        <a:xfrm>
          <a:off x="2152649" y="847725"/>
          <a:ext cx="2295525" cy="1295400"/>
        </a:xfrm>
        <a:prstGeom prst="roundRect">
          <a:avLst/>
        </a:prstGeom>
        <a:solidFill>
          <a:schemeClr val="bg1"/>
        </a:solid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BB8B5D1-FF0E-4E51-BEA7-C16B09DE403F}" type="TxLink">
            <a:rPr lang="en-US" sz="3200" b="0" i="0" u="none" strike="noStrike">
              <a:solidFill>
                <a:schemeClr val="accent1"/>
              </a:solidFill>
              <a:latin typeface="Aptos"/>
            </a:rPr>
            <a:pPr algn="ctr"/>
            <a:t> $-   </a:t>
          </a:fld>
          <a:endParaRPr lang="en-US" sz="3200">
            <a:solidFill>
              <a:schemeClr val="accent1"/>
            </a:solidFill>
          </a:endParaRPr>
        </a:p>
      </xdr:txBody>
    </xdr:sp>
    <xdr:clientData/>
  </xdr:twoCellAnchor>
  <xdr:twoCellAnchor>
    <xdr:from>
      <xdr:col>7</xdr:col>
      <xdr:colOff>333375</xdr:colOff>
      <xdr:row>4</xdr:row>
      <xdr:rowOff>95250</xdr:rowOff>
    </xdr:from>
    <xdr:to>
      <xdr:col>10</xdr:col>
      <xdr:colOff>66675</xdr:colOff>
      <xdr:row>11</xdr:row>
      <xdr:rowOff>57150</xdr:rowOff>
    </xdr:to>
    <xdr:sp macro="" textlink="$I$6">
      <xdr:nvSpPr>
        <xdr:cNvPr id="10" name="Rectangle: Rounded Corners 9">
          <a:extLst>
            <a:ext uri="{FF2B5EF4-FFF2-40B4-BE49-F238E27FC236}">
              <a16:creationId xmlns:a16="http://schemas.microsoft.com/office/drawing/2014/main" id="{94F7CD6A-0BDE-4C3F-8870-CBE5DD0A177D}"/>
            </a:ext>
          </a:extLst>
        </xdr:cNvPr>
        <xdr:cNvSpPr/>
      </xdr:nvSpPr>
      <xdr:spPr>
        <a:xfrm>
          <a:off x="5133975" y="857250"/>
          <a:ext cx="1790700" cy="1295400"/>
        </a:xfrm>
        <a:prstGeom prst="roundRect">
          <a:avLst/>
        </a:prstGeom>
        <a:solidFill>
          <a:schemeClr val="bg1"/>
        </a:solid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C61D038-7941-471C-B5A3-A6CCDB6E3408}" type="TxLink">
            <a:rPr lang="en-US" sz="4000" b="0" i="0" u="none" strike="noStrike">
              <a:solidFill>
                <a:schemeClr val="accent1"/>
              </a:solidFill>
              <a:latin typeface="Aptos"/>
            </a:rPr>
            <a:pPr algn="ctr"/>
            <a:t>0</a:t>
          </a:fld>
          <a:endParaRPr lang="en-US" sz="4000">
            <a:solidFill>
              <a:schemeClr val="accent1"/>
            </a:solidFill>
          </a:endParaRPr>
        </a:p>
      </xdr:txBody>
    </xdr:sp>
    <xdr:clientData/>
  </xdr:twoCellAnchor>
  <xdr:twoCellAnchor>
    <xdr:from>
      <xdr:col>10</xdr:col>
      <xdr:colOff>314325</xdr:colOff>
      <xdr:row>4</xdr:row>
      <xdr:rowOff>114300</xdr:rowOff>
    </xdr:from>
    <xdr:to>
      <xdr:col>13</xdr:col>
      <xdr:colOff>47625</xdr:colOff>
      <xdr:row>11</xdr:row>
      <xdr:rowOff>76200</xdr:rowOff>
    </xdr:to>
    <xdr:sp macro="" textlink="$M$6">
      <xdr:nvSpPr>
        <xdr:cNvPr id="11" name="Rectangle: Rounded Corners 10">
          <a:extLst>
            <a:ext uri="{FF2B5EF4-FFF2-40B4-BE49-F238E27FC236}">
              <a16:creationId xmlns:a16="http://schemas.microsoft.com/office/drawing/2014/main" id="{148E230C-4076-464D-970C-50C4FFD812A8}"/>
            </a:ext>
          </a:extLst>
        </xdr:cNvPr>
        <xdr:cNvSpPr/>
      </xdr:nvSpPr>
      <xdr:spPr>
        <a:xfrm>
          <a:off x="7172325" y="876300"/>
          <a:ext cx="1790700" cy="1295400"/>
        </a:xfrm>
        <a:prstGeom prst="roundRect">
          <a:avLst/>
        </a:prstGeom>
        <a:solidFill>
          <a:schemeClr val="bg1"/>
        </a:solid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B464660-5427-4F98-AAE3-04045A46D5A9}" type="TxLink">
            <a:rPr lang="en-US" sz="4000" b="0" i="0" u="none" strike="noStrike">
              <a:solidFill>
                <a:schemeClr val="accent1"/>
              </a:solidFill>
              <a:latin typeface="Aptos"/>
            </a:rPr>
            <a:pPr algn="ctr"/>
            <a:t>0</a:t>
          </a:fld>
          <a:endParaRPr lang="en-US" sz="4000">
            <a:solidFill>
              <a:schemeClr val="accent1"/>
            </a:solidFill>
          </a:endParaRPr>
        </a:p>
      </xdr:txBody>
    </xdr:sp>
    <xdr:clientData/>
  </xdr:twoCellAnchor>
  <xdr:twoCellAnchor>
    <xdr:from>
      <xdr:col>14</xdr:col>
      <xdr:colOff>19050</xdr:colOff>
      <xdr:row>4</xdr:row>
      <xdr:rowOff>85725</xdr:rowOff>
    </xdr:from>
    <xdr:to>
      <xdr:col>17</xdr:col>
      <xdr:colOff>247650</xdr:colOff>
      <xdr:row>11</xdr:row>
      <xdr:rowOff>47625</xdr:rowOff>
    </xdr:to>
    <xdr:sp macro="" textlink="$Q$6">
      <xdr:nvSpPr>
        <xdr:cNvPr id="12" name="Rectangle: Rounded Corners 11">
          <a:extLst>
            <a:ext uri="{FF2B5EF4-FFF2-40B4-BE49-F238E27FC236}">
              <a16:creationId xmlns:a16="http://schemas.microsoft.com/office/drawing/2014/main" id="{C2815AD0-9A22-4428-9539-F289901BDFD7}"/>
            </a:ext>
          </a:extLst>
        </xdr:cNvPr>
        <xdr:cNvSpPr/>
      </xdr:nvSpPr>
      <xdr:spPr>
        <a:xfrm>
          <a:off x="9620250" y="847725"/>
          <a:ext cx="2286000" cy="1295400"/>
        </a:xfrm>
        <a:prstGeom prst="roundRect">
          <a:avLst/>
        </a:prstGeom>
        <a:solidFill>
          <a:schemeClr val="bg1"/>
        </a:solid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3824C33-7B9E-40C0-9263-6FDE1A47F7D8}" type="TxLink">
            <a:rPr lang="en-US" sz="3200" b="0" i="0" u="none" strike="noStrike">
              <a:solidFill>
                <a:schemeClr val="accent1"/>
              </a:solidFill>
              <a:latin typeface="Aptos"/>
            </a:rPr>
            <a:pPr algn="ctr"/>
            <a:t> $-   </a:t>
          </a:fld>
          <a:endParaRPr lang="en-US" sz="3200">
            <a:solidFill>
              <a:schemeClr val="accent1"/>
            </a:solidFill>
          </a:endParaRPr>
        </a:p>
      </xdr:txBody>
    </xdr:sp>
    <xdr:clientData/>
  </xdr:twoCellAnchor>
  <xdr:twoCellAnchor>
    <xdr:from>
      <xdr:col>3</xdr:col>
      <xdr:colOff>571500</xdr:colOff>
      <xdr:row>4</xdr:row>
      <xdr:rowOff>114300</xdr:rowOff>
    </xdr:from>
    <xdr:to>
      <xdr:col>5</xdr:col>
      <xdr:colOff>495300</xdr:colOff>
      <xdr:row>6</xdr:row>
      <xdr:rowOff>38100</xdr:rowOff>
    </xdr:to>
    <xdr:sp macro="" textlink="">
      <xdr:nvSpPr>
        <xdr:cNvPr id="13" name="TextBox 12">
          <a:extLst>
            <a:ext uri="{FF2B5EF4-FFF2-40B4-BE49-F238E27FC236}">
              <a16:creationId xmlns:a16="http://schemas.microsoft.com/office/drawing/2014/main" id="{721044A6-1EBB-6FC5-FC7C-37A4D6D11EBE}"/>
            </a:ext>
          </a:extLst>
        </xdr:cNvPr>
        <xdr:cNvSpPr txBox="1"/>
      </xdr:nvSpPr>
      <xdr:spPr>
        <a:xfrm>
          <a:off x="2628900" y="876300"/>
          <a:ext cx="129540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4">
                  <a:lumMod val="75000"/>
                </a:schemeClr>
              </a:solidFill>
            </a:rPr>
            <a:t>Total Value</a:t>
          </a:r>
        </a:p>
      </xdr:txBody>
    </xdr:sp>
    <xdr:clientData/>
  </xdr:twoCellAnchor>
  <xdr:twoCellAnchor>
    <xdr:from>
      <xdr:col>7</xdr:col>
      <xdr:colOff>561975</xdr:colOff>
      <xdr:row>4</xdr:row>
      <xdr:rowOff>104775</xdr:rowOff>
    </xdr:from>
    <xdr:to>
      <xdr:col>9</xdr:col>
      <xdr:colOff>485775</xdr:colOff>
      <xdr:row>6</xdr:row>
      <xdr:rowOff>28575</xdr:rowOff>
    </xdr:to>
    <xdr:sp macro="" textlink="">
      <xdr:nvSpPr>
        <xdr:cNvPr id="14" name="TextBox 13">
          <a:extLst>
            <a:ext uri="{FF2B5EF4-FFF2-40B4-BE49-F238E27FC236}">
              <a16:creationId xmlns:a16="http://schemas.microsoft.com/office/drawing/2014/main" id="{F7E7A90B-09DF-4276-B759-4BDAE072101B}"/>
            </a:ext>
          </a:extLst>
        </xdr:cNvPr>
        <xdr:cNvSpPr txBox="1"/>
      </xdr:nvSpPr>
      <xdr:spPr>
        <a:xfrm>
          <a:off x="5362575" y="866775"/>
          <a:ext cx="129540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4">
                  <a:lumMod val="75000"/>
                </a:schemeClr>
              </a:solidFill>
            </a:rPr>
            <a:t>Total Cards</a:t>
          </a:r>
        </a:p>
      </xdr:txBody>
    </xdr:sp>
    <xdr:clientData/>
  </xdr:twoCellAnchor>
  <xdr:twoCellAnchor>
    <xdr:from>
      <xdr:col>10</xdr:col>
      <xdr:colOff>400050</xdr:colOff>
      <xdr:row>4</xdr:row>
      <xdr:rowOff>142875</xdr:rowOff>
    </xdr:from>
    <xdr:to>
      <xdr:col>12</xdr:col>
      <xdr:colOff>657225</xdr:colOff>
      <xdr:row>6</xdr:row>
      <xdr:rowOff>66675</xdr:rowOff>
    </xdr:to>
    <xdr:sp macro="" textlink="">
      <xdr:nvSpPr>
        <xdr:cNvPr id="15" name="TextBox 14">
          <a:extLst>
            <a:ext uri="{FF2B5EF4-FFF2-40B4-BE49-F238E27FC236}">
              <a16:creationId xmlns:a16="http://schemas.microsoft.com/office/drawing/2014/main" id="{DDCC2ED3-6D27-40BD-B6D7-C287B8FC34CE}"/>
            </a:ext>
          </a:extLst>
        </xdr:cNvPr>
        <xdr:cNvSpPr txBox="1"/>
      </xdr:nvSpPr>
      <xdr:spPr>
        <a:xfrm>
          <a:off x="7258050" y="904875"/>
          <a:ext cx="16287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4">
                  <a:lumMod val="75000"/>
                </a:schemeClr>
              </a:solidFill>
            </a:rPr>
            <a:t>Total Distinct Cards</a:t>
          </a:r>
        </a:p>
      </xdr:txBody>
    </xdr:sp>
    <xdr:clientData/>
  </xdr:twoCellAnchor>
  <xdr:twoCellAnchor>
    <xdr:from>
      <xdr:col>14</xdr:col>
      <xdr:colOff>514350</xdr:colOff>
      <xdr:row>4</xdr:row>
      <xdr:rowOff>104775</xdr:rowOff>
    </xdr:from>
    <xdr:to>
      <xdr:col>16</xdr:col>
      <xdr:colOff>438150</xdr:colOff>
      <xdr:row>6</xdr:row>
      <xdr:rowOff>28575</xdr:rowOff>
    </xdr:to>
    <xdr:sp macro="" textlink="">
      <xdr:nvSpPr>
        <xdr:cNvPr id="16" name="TextBox 15">
          <a:extLst>
            <a:ext uri="{FF2B5EF4-FFF2-40B4-BE49-F238E27FC236}">
              <a16:creationId xmlns:a16="http://schemas.microsoft.com/office/drawing/2014/main" id="{CBD547F6-FE0A-4562-9123-B0DDCB56D34B}"/>
            </a:ext>
          </a:extLst>
        </xdr:cNvPr>
        <xdr:cNvSpPr txBox="1"/>
      </xdr:nvSpPr>
      <xdr:spPr>
        <a:xfrm>
          <a:off x="10115550" y="866775"/>
          <a:ext cx="129540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4">
                  <a:lumMod val="75000"/>
                </a:schemeClr>
              </a:solidFill>
            </a:rPr>
            <a:t>Price Increase</a:t>
          </a:r>
        </a:p>
      </xdr:txBody>
    </xdr:sp>
    <xdr:clientData/>
  </xdr:twoCellAnchor>
  <xdr:twoCellAnchor editAs="oneCell">
    <xdr:from>
      <xdr:col>0</xdr:col>
      <xdr:colOff>123825</xdr:colOff>
      <xdr:row>24</xdr:row>
      <xdr:rowOff>28575</xdr:rowOff>
    </xdr:from>
    <xdr:to>
      <xdr:col>2</xdr:col>
      <xdr:colOff>581025</xdr:colOff>
      <xdr:row>34</xdr:row>
      <xdr:rowOff>28575</xdr:rowOff>
    </xdr:to>
    <mc:AlternateContent xmlns:mc="http://schemas.openxmlformats.org/markup-compatibility/2006" xmlns:a14="http://schemas.microsoft.com/office/drawing/2010/main">
      <mc:Choice Requires="a14">
        <xdr:graphicFrame macro="">
          <xdr:nvGraphicFramePr>
            <xdr:cNvPr id="17" name="rarity 1">
              <a:extLst>
                <a:ext uri="{FF2B5EF4-FFF2-40B4-BE49-F238E27FC236}">
                  <a16:creationId xmlns:a16="http://schemas.microsoft.com/office/drawing/2014/main" id="{DF11EF98-ABE8-4CDC-99B4-32780709C6B6}"/>
                </a:ext>
              </a:extLst>
            </xdr:cNvPr>
            <xdr:cNvGraphicFramePr/>
          </xdr:nvGraphicFramePr>
          <xdr:xfrm>
            <a:off x="0" y="0"/>
            <a:ext cx="0" cy="0"/>
          </xdr:xfrm>
          <a:graphic>
            <a:graphicData uri="http://schemas.microsoft.com/office/drawing/2010/slicer">
              <sle:slicer xmlns:sle="http://schemas.microsoft.com/office/drawing/2010/slicer" name="rarity 1"/>
            </a:graphicData>
          </a:graphic>
        </xdr:graphicFrame>
      </mc:Choice>
      <mc:Fallback xmlns="">
        <xdr:sp macro="" textlink="">
          <xdr:nvSpPr>
            <xdr:cNvPr id="0" name=""/>
            <xdr:cNvSpPr>
              <a:spLocks noTextEdit="1"/>
            </xdr:cNvSpPr>
          </xdr:nvSpPr>
          <xdr:spPr>
            <a:xfrm>
              <a:off x="123825" y="4600575"/>
              <a:ext cx="1828800"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34</xdr:row>
      <xdr:rowOff>123825</xdr:rowOff>
    </xdr:from>
    <xdr:to>
      <xdr:col>2</xdr:col>
      <xdr:colOff>581025</xdr:colOff>
      <xdr:row>45</xdr:row>
      <xdr:rowOff>57150</xdr:rowOff>
    </xdr:to>
    <mc:AlternateContent xmlns:mc="http://schemas.openxmlformats.org/markup-compatibility/2006" xmlns:a14="http://schemas.microsoft.com/office/drawing/2010/main">
      <mc:Choice Requires="a14">
        <xdr:graphicFrame macro="">
          <xdr:nvGraphicFramePr>
            <xdr:cNvPr id="18" name="condition 1">
              <a:extLst>
                <a:ext uri="{FF2B5EF4-FFF2-40B4-BE49-F238E27FC236}">
                  <a16:creationId xmlns:a16="http://schemas.microsoft.com/office/drawing/2014/main" id="{10BDF6FE-6592-47A0-B6B4-766560CBB887}"/>
                </a:ext>
              </a:extLst>
            </xdr:cNvPr>
            <xdr:cNvGraphicFramePr/>
          </xdr:nvGraphicFramePr>
          <xdr:xfrm>
            <a:off x="0" y="0"/>
            <a:ext cx="0" cy="0"/>
          </xdr:xfrm>
          <a:graphic>
            <a:graphicData uri="http://schemas.microsoft.com/office/drawing/2010/slicer">
              <sle:slicer xmlns:sle="http://schemas.microsoft.com/office/drawing/2010/slicer" name="condition 1"/>
            </a:graphicData>
          </a:graphic>
        </xdr:graphicFrame>
      </mc:Choice>
      <mc:Fallback xmlns="">
        <xdr:sp macro="" textlink="">
          <xdr:nvSpPr>
            <xdr:cNvPr id="0" name=""/>
            <xdr:cNvSpPr>
              <a:spLocks noTextEdit="1"/>
            </xdr:cNvSpPr>
          </xdr:nvSpPr>
          <xdr:spPr>
            <a:xfrm>
              <a:off x="123825" y="6600825"/>
              <a:ext cx="1828800" cy="2028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76199</xdr:colOff>
      <xdr:row>46</xdr:row>
      <xdr:rowOff>76200</xdr:rowOff>
    </xdr:from>
    <xdr:to>
      <xdr:col>17</xdr:col>
      <xdr:colOff>352424</xdr:colOff>
      <xdr:row>60</xdr:row>
      <xdr:rowOff>152400</xdr:rowOff>
    </xdr:to>
    <xdr:graphicFrame macro="">
      <xdr:nvGraphicFramePr>
        <xdr:cNvPr id="19" name="Chart 18">
          <a:extLst>
            <a:ext uri="{FF2B5EF4-FFF2-40B4-BE49-F238E27FC236}">
              <a16:creationId xmlns:a16="http://schemas.microsoft.com/office/drawing/2014/main" id="{1D6A599E-9FEA-420F-99B8-DE5B975D75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704850</xdr:colOff>
      <xdr:row>0</xdr:row>
      <xdr:rowOff>19050</xdr:rowOff>
    </xdr:from>
    <xdr:ext cx="5677195" cy="718530"/>
    <xdr:sp macro="" textlink="">
      <xdr:nvSpPr>
        <xdr:cNvPr id="2" name="TextBox 1">
          <a:extLst>
            <a:ext uri="{FF2B5EF4-FFF2-40B4-BE49-F238E27FC236}">
              <a16:creationId xmlns:a16="http://schemas.microsoft.com/office/drawing/2014/main" id="{50BDBBCC-01AF-4FDF-95F3-49AE56162B4A}"/>
            </a:ext>
          </a:extLst>
        </xdr:cNvPr>
        <xdr:cNvSpPr txBox="1"/>
      </xdr:nvSpPr>
      <xdr:spPr>
        <a:xfrm>
          <a:off x="3257550" y="19050"/>
          <a:ext cx="5677195"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4000">
              <a:solidFill>
                <a:schemeClr val="accent2"/>
              </a:solidFill>
            </a:rPr>
            <a:t>Upgrade Cost Calculator</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123825</xdr:colOff>
      <xdr:row>0</xdr:row>
      <xdr:rowOff>76200</xdr:rowOff>
    </xdr:from>
    <xdr:to>
      <xdr:col>1</xdr:col>
      <xdr:colOff>990600</xdr:colOff>
      <xdr:row>13</xdr:row>
      <xdr:rowOff>123825</xdr:rowOff>
    </xdr:to>
    <mc:AlternateContent xmlns:mc="http://schemas.openxmlformats.org/markup-compatibility/2006" xmlns:a14="http://schemas.microsoft.com/office/drawing/2010/main">
      <mc:Choice Requires="a14">
        <xdr:graphicFrame macro="">
          <xdr:nvGraphicFramePr>
            <xdr:cNvPr id="2" name="set_name">
              <a:extLst>
                <a:ext uri="{FF2B5EF4-FFF2-40B4-BE49-F238E27FC236}">
                  <a16:creationId xmlns:a16="http://schemas.microsoft.com/office/drawing/2014/main" id="{819269C4-DFD2-36FD-06A6-C4DB58A5977A}"/>
                </a:ext>
              </a:extLst>
            </xdr:cNvPr>
            <xdr:cNvGraphicFramePr/>
          </xdr:nvGraphicFramePr>
          <xdr:xfrm>
            <a:off x="0" y="0"/>
            <a:ext cx="0" cy="0"/>
          </xdr:xfrm>
          <a:graphic>
            <a:graphicData uri="http://schemas.microsoft.com/office/drawing/2010/slicer">
              <sle:slicer xmlns:sle="http://schemas.microsoft.com/office/drawing/2010/slicer" name="set_name"/>
            </a:graphicData>
          </a:graphic>
        </xdr:graphicFrame>
      </mc:Choice>
      <mc:Fallback xmlns="">
        <xdr:sp macro="" textlink="">
          <xdr:nvSpPr>
            <xdr:cNvPr id="0" name=""/>
            <xdr:cNvSpPr>
              <a:spLocks noTextEdit="1"/>
            </xdr:cNvSpPr>
          </xdr:nvSpPr>
          <xdr:spPr>
            <a:xfrm>
              <a:off x="123825" y="76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14</xdr:row>
      <xdr:rowOff>19050</xdr:rowOff>
    </xdr:from>
    <xdr:to>
      <xdr:col>1</xdr:col>
      <xdr:colOff>1000125</xdr:colOff>
      <xdr:row>28</xdr:row>
      <xdr:rowOff>19050</xdr:rowOff>
    </xdr:to>
    <mc:AlternateContent xmlns:mc="http://schemas.openxmlformats.org/markup-compatibility/2006" xmlns:a14="http://schemas.microsoft.com/office/drawing/2010/main">
      <mc:Choice Requires="a14">
        <xdr:graphicFrame macro="">
          <xdr:nvGraphicFramePr>
            <xdr:cNvPr id="3" name="rarity">
              <a:extLst>
                <a:ext uri="{FF2B5EF4-FFF2-40B4-BE49-F238E27FC236}">
                  <a16:creationId xmlns:a16="http://schemas.microsoft.com/office/drawing/2014/main" id="{02A2A408-98F4-0356-B106-A483C4F8BE76}"/>
                </a:ext>
              </a:extLst>
            </xdr:cNvPr>
            <xdr:cNvGraphicFramePr/>
          </xdr:nvGraphicFramePr>
          <xdr:xfrm>
            <a:off x="0" y="0"/>
            <a:ext cx="0" cy="0"/>
          </xdr:xfrm>
          <a:graphic>
            <a:graphicData uri="http://schemas.microsoft.com/office/drawing/2010/slicer">
              <sle:slicer xmlns:sle="http://schemas.microsoft.com/office/drawing/2010/slicer" name="rarity"/>
            </a:graphicData>
          </a:graphic>
        </xdr:graphicFrame>
      </mc:Choice>
      <mc:Fallback xmlns="">
        <xdr:sp macro="" textlink="">
          <xdr:nvSpPr>
            <xdr:cNvPr id="0" name=""/>
            <xdr:cNvSpPr>
              <a:spLocks noTextEdit="1"/>
            </xdr:cNvSpPr>
          </xdr:nvSpPr>
          <xdr:spPr>
            <a:xfrm>
              <a:off x="133350" y="26860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28</xdr:row>
      <xdr:rowOff>171450</xdr:rowOff>
    </xdr:from>
    <xdr:to>
      <xdr:col>1</xdr:col>
      <xdr:colOff>971550</xdr:colOff>
      <xdr:row>42</xdr:row>
      <xdr:rowOff>171450</xdr:rowOff>
    </xdr:to>
    <mc:AlternateContent xmlns:mc="http://schemas.openxmlformats.org/markup-compatibility/2006" xmlns:a14="http://schemas.microsoft.com/office/drawing/2010/main">
      <mc:Choice Requires="a14">
        <xdr:graphicFrame macro="">
          <xdr:nvGraphicFramePr>
            <xdr:cNvPr id="4" name="condition">
              <a:extLst>
                <a:ext uri="{FF2B5EF4-FFF2-40B4-BE49-F238E27FC236}">
                  <a16:creationId xmlns:a16="http://schemas.microsoft.com/office/drawing/2014/main" id="{1A5DCEB7-6740-4BDE-088C-2465817D1745}"/>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mlns="">
        <xdr:sp macro="" textlink="">
          <xdr:nvSpPr>
            <xdr:cNvPr id="0" name=""/>
            <xdr:cNvSpPr>
              <a:spLocks noTextEdit="1"/>
            </xdr:cNvSpPr>
          </xdr:nvSpPr>
          <xdr:spPr>
            <a:xfrm>
              <a:off x="104775" y="55054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icholas Licalsi" refreshedDate="46241.464520601854" createdVersion="8" refreshedVersion="8" minRefreshableVersion="3" recordCount="1" xr:uid="{439E5518-5CD2-417C-85EF-FD50DB1FE2E2}">
  <cacheSource type="worksheet">
    <worksheetSource name="tUpgradeCost"/>
  </cacheSource>
  <cacheFields count="10">
    <cacheField name="card_name" numFmtId="0">
      <sharedItems containsNonDate="0" containsString="0" containsBlank="1"/>
    </cacheField>
    <cacheField name="set_name" numFmtId="0">
      <sharedItems containsNonDate="0" containsBlank="1" count="5">
        <m/>
        <s v="Base Set" u="1"/>
        <s v="Fossil" u="1"/>
        <s v="Jungle" u="1"/>
        <s v="151" u="1"/>
      </sharedItems>
    </cacheField>
    <cacheField name="rarity" numFmtId="0">
      <sharedItems containsNonDate="0" containsString="0" containsBlank="1"/>
    </cacheField>
    <cacheField name="current_condition" numFmtId="0">
      <sharedItems containsNonDate="0" containsString="0" containsBlank="1"/>
    </cacheField>
    <cacheField name="target_condition" numFmtId="0">
      <sharedItems containsNonDate="0" containsString="0" containsBlank="1"/>
    </cacheField>
    <cacheField name="quantity" numFmtId="0">
      <sharedItems containsNonDate="0" containsString="0" containsBlank="1"/>
    </cacheField>
    <cacheField name="current_price" numFmtId="44">
      <sharedItems containsNonDate="0" containsString="0" containsBlank="1"/>
    </cacheField>
    <cacheField name="target_price" numFmtId="44">
      <sharedItems containsNonDate="0" containsString="0" containsBlank="1"/>
    </cacheField>
    <cacheField name="upgrade_cost" numFmtId="44">
      <sharedItems containsNonDate="0" containsString="0" containsBlank="1"/>
    </cacheField>
    <cacheField name="price_sourc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icholas Licalsi" refreshedDate="46241.464521296293" createdVersion="8" refreshedVersion="8" minRefreshableVersion="3" recordCount="1" xr:uid="{F05D40A8-20A2-44E0-8223-62F324E932B0}">
  <cacheSource type="worksheet">
    <worksheetSource name="tData"/>
  </cacheSource>
  <cacheFields count="19">
    <cacheField name="set_id" numFmtId="0">
      <sharedItems containsNonDate="0" containsString="0" containsBlank="1"/>
    </cacheField>
    <cacheField name="set_name" numFmtId="0">
      <sharedItems containsNonDate="0" containsBlank="1" count="5">
        <m/>
        <s v="Base Set" u="1"/>
        <s v="Jungle" u="1"/>
        <s v="Fossil" u="1"/>
        <s v="151" u="1"/>
      </sharedItems>
    </cacheField>
    <cacheField name="set_printed_total" numFmtId="0">
      <sharedItems containsNonDate="0" containsString="0" containsBlank="1"/>
    </cacheField>
    <cacheField name="set_total_with_secrets" numFmtId="0">
      <sharedItems containsNonDate="0" containsString="0" containsBlank="1"/>
    </cacheField>
    <cacheField name="card_id" numFmtId="0">
      <sharedItems containsNonDate="0" containsString="0" containsBlank="1"/>
    </cacheField>
    <cacheField name="card_number" numFmtId="0">
      <sharedItems containsNonDate="0" containsString="0" containsBlank="1"/>
    </cacheField>
    <cacheField name="card_name" numFmtId="0">
      <sharedItems containsNonDate="0" containsBlank="1" count="21">
        <m/>
        <s v="Alakazam" u="1"/>
        <s v="Blastoise" u="1"/>
        <s v="Chansey" u="1"/>
        <s v="Charizard" u="1"/>
        <s v="Clefairy" u="1"/>
        <s v="Clefable" u="1"/>
        <s v="Electrode" u="1"/>
        <s v="Flareon" u="1"/>
        <s v="Jolteon" u="1"/>
        <s v="Kangaskhan" u="1"/>
        <s v="Aerodactyl" u="1"/>
        <s v="Articuno" u="1"/>
        <s v="Ditto" u="1"/>
        <s v="Dragonite" u="1"/>
        <s v="Gengar" u="1"/>
        <s v="Bulbasaur" u="1"/>
        <s v="Ivysaur" u="1"/>
        <s v="Venusaur ex" u="1"/>
        <s v="Charmander" u="1"/>
        <s v="Charmeleon" u="1"/>
      </sharedItems>
    </cacheField>
    <cacheField name="rarity" numFmtId="0">
      <sharedItems containsNonDate="0" containsBlank="1" count="5">
        <m/>
        <s v="rare" u="1"/>
        <s v="common" u="1"/>
        <s v="uncommon" u="1"/>
        <s v="double_rare" u="1"/>
      </sharedItems>
    </cacheField>
    <cacheField name="supertype" numFmtId="0">
      <sharedItems containsNonDate="0" containsString="0" containsBlank="1"/>
    </cacheField>
    <cacheField name="condition" numFmtId="0">
      <sharedItems containsNonDate="0" containsBlank="1" count="6">
        <m/>
        <s v="NM" u="1"/>
        <s v="LP" u="1"/>
        <s v="MP" u="1"/>
        <s v="HP" u="1"/>
        <s v="DMG" u="1"/>
      </sharedItems>
    </cacheField>
    <cacheField name="variant" numFmtId="0">
      <sharedItems containsBlank="1" count="6">
        <s v="Standard"/>
        <s v="Reverse Holo" u="1"/>
        <s v="Holo" u="1"/>
        <s v="Reverse Holo, Misprint" u="1"/>
        <s v="Shadowless" u="1"/>
        <m u="1"/>
      </sharedItems>
    </cacheField>
    <cacheField name="is_first_edition" numFmtId="0">
      <sharedItems containsNonDate="0" containsString="0" containsBlank="1"/>
    </cacheField>
    <cacheField name="quantity" numFmtId="0">
      <sharedItems containsNonDate="0" containsString="0" containsBlank="1"/>
    </cacheField>
    <cacheField name="purchase_price" numFmtId="0">
      <sharedItems containsNonDate="0" containsString="0" containsBlank="1"/>
    </cacheField>
    <cacheField name="market_price" numFmtId="0">
      <sharedItems containsNonDate="0" containsString="0" containsBlank="1"/>
    </cacheField>
    <cacheField name="total_value" numFmtId="0">
      <sharedItems containsNonDate="0" containsString="0" containsBlank="1"/>
    </cacheField>
    <cacheField name="gain_dollar" numFmtId="0">
      <sharedItems containsNonDate="0" containsString="0" containsBlank="1"/>
    </cacheField>
    <cacheField name="gain_percent" numFmtId="9">
      <sharedItems containsNonDate="0" containsString="0" containsBlank="1"/>
    </cacheField>
    <cacheField name="pricing_warning" numFmtId="0">
      <sharedItems containsNonDate="0" containsString="0" containsBlank="1"/>
    </cacheField>
  </cacheFields>
  <extLst>
    <ext xmlns:x14="http://schemas.microsoft.com/office/spreadsheetml/2009/9/main" uri="{725AE2AE-9491-48be-B2B4-4EB974FC3084}">
      <x14:pivotCacheDefinition pivotCacheId="39802847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icholas Licalsi" refreshedDate="46241.464521875001" createdVersion="8" refreshedVersion="8" minRefreshableVersion="3" recordCount="1" xr:uid="{B9403936-D17D-4437-AAB5-6EDB089D9E07}">
  <cacheSource type="worksheet">
    <worksheetSource name="tHistoricValue"/>
  </cacheSource>
  <cacheFields count="7">
    <cacheField name="sample_date" numFmtId="14">
      <sharedItems containsNonDate="0" containsString="0" containsBlank="1" count="1">
        <m/>
      </sharedItems>
    </cacheField>
    <cacheField name="set_name" numFmtId="0">
      <sharedItems containsNonDate="0" containsString="0" containsBlank="1"/>
    </cacheField>
    <cacheField name="card_name" numFmtId="0">
      <sharedItems containsNonDate="0" containsString="0" containsBlank="1"/>
    </cacheField>
    <cacheField name="condition" numFmtId="0">
      <sharedItems containsNonDate="0" containsString="0" containsBlank="1"/>
    </cacheField>
    <cacheField name="qty" numFmtId="0">
      <sharedItems containsNonDate="0" containsString="0" containsBlank="1"/>
    </cacheField>
    <cacheField name="market_price" numFmtId="0">
      <sharedItems containsNonDate="0" containsString="0" containsBlank="1"/>
    </cacheField>
    <cacheField name="holding_valu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m/>
    <x v="0"/>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m/>
    <x v="0"/>
    <m/>
    <m/>
    <m/>
    <m/>
    <x v="0"/>
    <x v="0"/>
    <m/>
    <x v="0"/>
    <x v="0"/>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BCA549-46BA-438F-8984-4356E54F84AD}"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2" firstHeaderRow="1" firstDataRow="1" firstDataCol="1"/>
  <pivotFields count="10">
    <pivotField showAll="0"/>
    <pivotField axis="axisRow" showAll="0">
      <items count="6">
        <item m="1" x="4"/>
        <item m="1" x="1"/>
        <item m="1" x="2"/>
        <item m="1" x="3"/>
        <item x="0"/>
        <item t="default"/>
      </items>
    </pivotField>
    <pivotField showAll="0"/>
    <pivotField showAll="0"/>
    <pivotField showAll="0"/>
    <pivotField showAll="0"/>
    <pivotField numFmtId="44" showAll="0"/>
    <pivotField numFmtId="44" showAll="0"/>
    <pivotField dataField="1" numFmtId="44" showAll="0"/>
    <pivotField showAll="0"/>
  </pivotFields>
  <rowFields count="1">
    <field x="1"/>
  </rowFields>
  <rowItems count="2">
    <i>
      <x v="4"/>
    </i>
    <i t="grand">
      <x/>
    </i>
  </rowItems>
  <colItems count="1">
    <i/>
  </colItems>
  <dataFields count="1">
    <dataField name="Sum of upgrade_cost" fld="8" baseField="0" baseItem="0" numFmtId="44"/>
  </dataFields>
  <formats count="4">
    <format dxfId="57">
      <pivotArea field="1" type="button" dataOnly="0" labelOnly="1" outline="0" axis="axisRow" fieldPosition="0"/>
    </format>
    <format dxfId="56">
      <pivotArea dataOnly="0" labelOnly="1" outline="0" axis="axisValues" fieldPosition="0"/>
    </format>
    <format dxfId="55">
      <pivotArea grandRow="1" outline="0" collapsedLevelsAreSubtotals="1" fieldPosition="0"/>
    </format>
    <format dxfId="54">
      <pivotArea dataOnly="0" labelOnly="1" grandRow="1" outline="0"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CE3C63-D8BB-4027-A7C4-763AF8CA29B7}"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1:J3" firstHeaderRow="1" firstDataRow="1" firstDataCol="1"/>
  <pivotFields count="7">
    <pivotField axis="axisRow" numFmtId="14" showAll="0">
      <items count="2">
        <item x="0"/>
        <item t="default"/>
      </items>
    </pivotField>
    <pivotField showAll="0"/>
    <pivotField showAll="0"/>
    <pivotField showAll="0"/>
    <pivotField showAll="0"/>
    <pivotField showAll="0"/>
    <pivotField dataField="1" showAll="0"/>
  </pivotFields>
  <rowFields count="1">
    <field x="0"/>
  </rowFields>
  <rowItems count="2">
    <i>
      <x/>
    </i>
    <i t="grand">
      <x/>
    </i>
  </rowItems>
  <colItems count="1">
    <i/>
  </colItems>
  <dataFields count="1">
    <dataField name="Sum of holding_value"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B36AEA-BF38-43ED-B631-6F5A86EA94E4}" name="PivotTable2" cacheId="14" applyNumberFormats="0" applyBorderFormats="0" applyFontFormats="0" applyPatternFormats="0" applyAlignmentFormats="0" applyWidthHeightFormats="1" dataCaption="Values" errorCaption="Standard (null)" missingCaption="Standard" showMissing="0" updatedVersion="8" minRefreshableVersion="3" useAutoFormatting="1" itemPrintTitles="1" createdVersion="8" indent="0" outline="1" outlineData="1" multipleFieldFilters="0" chartFormat="5">
  <location ref="G3:H4" firstHeaderRow="1" firstDataRow="1" firstDataCol="1"/>
  <pivotFields count="19">
    <pivotField showAll="0"/>
    <pivotField showAll="0">
      <items count="6">
        <item m="1" x="4"/>
        <item m="1" x="1"/>
        <item m="1" x="3"/>
        <item m="1" x="2"/>
        <item x="0"/>
        <item t="default"/>
      </items>
    </pivotField>
    <pivotField showAll="0"/>
    <pivotField showAll="0"/>
    <pivotField dataField="1" showAll="0"/>
    <pivotField showAll="0"/>
    <pivotField showAll="0"/>
    <pivotField showAll="0">
      <items count="6">
        <item m="1" x="2"/>
        <item m="1" x="4"/>
        <item m="1" x="1"/>
        <item m="1" x="3"/>
        <item x="0"/>
        <item t="default"/>
      </items>
    </pivotField>
    <pivotField showAll="0"/>
    <pivotField showAll="0">
      <items count="7">
        <item m="1" x="5"/>
        <item m="1" x="4"/>
        <item m="1" x="2"/>
        <item m="1" x="3"/>
        <item m="1" x="1"/>
        <item x="0"/>
        <item t="default"/>
      </items>
    </pivotField>
    <pivotField axis="axisRow" showAll="0">
      <items count="7">
        <item m="1" x="2"/>
        <item m="1" x="1"/>
        <item m="1" x="3"/>
        <item m="1" x="4"/>
        <item h="1" m="1" x="5"/>
        <item h="1" x="0"/>
        <item t="default"/>
      </items>
    </pivotField>
    <pivotField showAll="0"/>
    <pivotField showAll="0"/>
    <pivotField showAll="0"/>
    <pivotField showAll="0"/>
    <pivotField showAll="0"/>
    <pivotField showAll="0"/>
    <pivotField showAll="0"/>
    <pivotField showAll="0"/>
  </pivotFields>
  <rowFields count="1">
    <field x="10"/>
  </rowFields>
  <rowItems count="1">
    <i t="grand">
      <x/>
    </i>
  </rowItems>
  <colItems count="1">
    <i/>
  </colItems>
  <dataFields count="1">
    <dataField name="Count of card_id" fld="4"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B24E55-D43B-47BA-8143-E4656B6BFD2F}"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3:D5" firstHeaderRow="1" firstDataRow="1" firstDataCol="1"/>
  <pivotFields count="19">
    <pivotField showAll="0"/>
    <pivotField axis="axisRow" showAll="0">
      <items count="6">
        <item m="1" x="4"/>
        <item m="1" x="1"/>
        <item m="1" x="3"/>
        <item m="1" x="2"/>
        <item x="0"/>
        <item t="default"/>
      </items>
    </pivotField>
    <pivotField showAll="0"/>
    <pivotField showAll="0"/>
    <pivotField showAll="0"/>
    <pivotField showAll="0"/>
    <pivotField showAll="0"/>
    <pivotField showAll="0">
      <items count="6">
        <item m="1" x="2"/>
        <item m="1" x="4"/>
        <item m="1" x="1"/>
        <item m="1" x="3"/>
        <item x="0"/>
        <item t="default"/>
      </items>
    </pivotField>
    <pivotField showAll="0"/>
    <pivotField showAll="0">
      <items count="7">
        <item m="1" x="5"/>
        <item m="1" x="4"/>
        <item m="1" x="2"/>
        <item m="1" x="3"/>
        <item m="1" x="1"/>
        <item x="0"/>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2">
    <i>
      <x v="4"/>
    </i>
    <i t="grand">
      <x/>
    </i>
  </rowItems>
  <colItems count="1">
    <i/>
  </colItems>
  <dataFields count="1">
    <dataField name="Sum of total_value" fld="15" baseField="0" baseItem="0" numFmtId="44"/>
  </dataFields>
  <formats count="1">
    <format dxfId="42">
      <pivotArea outline="0" collapsedLevelsAreSubtotals="1" fieldPosition="0"/>
    </format>
  </formats>
  <chartFormats count="7">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 chart="4" format="1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5AFC7F-7BFE-494E-BE9A-9E7E9F1D8D87}"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5:I17" firstHeaderRow="0" firstDataRow="1" firstDataCol="1"/>
  <pivotFields count="19">
    <pivotField showAll="0"/>
    <pivotField showAll="0">
      <items count="6">
        <item m="1" x="4"/>
        <item m="1" x="1"/>
        <item m="1" x="3"/>
        <item m="1" x="2"/>
        <item x="0"/>
        <item t="default"/>
      </items>
    </pivotField>
    <pivotField showAll="0"/>
    <pivotField showAll="0"/>
    <pivotField showAll="0"/>
    <pivotField showAll="0"/>
    <pivotField axis="axisRow" showAll="0" measureFilter="1" sortType="ascending">
      <items count="22">
        <item m="1" x="11"/>
        <item m="1" x="1"/>
        <item m="1" x="12"/>
        <item m="1" x="2"/>
        <item m="1" x="16"/>
        <item m="1" x="3"/>
        <item m="1" x="4"/>
        <item m="1" x="19"/>
        <item m="1" x="20"/>
        <item m="1" x="6"/>
        <item m="1" x="5"/>
        <item m="1" x="13"/>
        <item m="1" x="14"/>
        <item m="1" x="7"/>
        <item m="1" x="8"/>
        <item m="1" x="15"/>
        <item m="1" x="17"/>
        <item m="1" x="9"/>
        <item m="1" x="10"/>
        <item m="1" x="18"/>
        <item x="0"/>
        <item t="default"/>
      </items>
      <autoSortScope>
        <pivotArea dataOnly="0" outline="0" fieldPosition="0">
          <references count="1">
            <reference field="4294967294" count="1" selected="0">
              <x v="1"/>
            </reference>
          </references>
        </pivotArea>
      </autoSortScope>
    </pivotField>
    <pivotField showAll="0">
      <items count="6">
        <item m="1" x="2"/>
        <item m="1" x="4"/>
        <item m="1" x="1"/>
        <item m="1" x="3"/>
        <item x="0"/>
        <item t="default"/>
      </items>
    </pivotField>
    <pivotField showAll="0"/>
    <pivotField showAll="0">
      <items count="7">
        <item m="1" x="5"/>
        <item m="1" x="4"/>
        <item m="1" x="2"/>
        <item m="1" x="3"/>
        <item m="1" x="1"/>
        <item x="0"/>
        <item t="default"/>
      </items>
    </pivotField>
    <pivotField showAll="0"/>
    <pivotField showAll="0"/>
    <pivotField showAll="0"/>
    <pivotField showAll="0"/>
    <pivotField showAll="0"/>
    <pivotField showAll="0"/>
    <pivotField dataField="1" showAll="0"/>
    <pivotField dataField="1" showAll="0"/>
    <pivotField showAll="0"/>
  </pivotFields>
  <rowFields count="1">
    <field x="6"/>
  </rowFields>
  <rowItems count="2">
    <i>
      <x v="20"/>
    </i>
    <i t="grand">
      <x/>
    </i>
  </rowItems>
  <colFields count="1">
    <field x="-2"/>
  </colFields>
  <colItems count="2">
    <i>
      <x/>
    </i>
    <i i="1">
      <x v="1"/>
    </i>
  </colItems>
  <dataFields count="2">
    <dataField name="Sum of gain_dollar" fld="16" baseField="0" baseItem="0" numFmtId="44"/>
    <dataField name="Average of gain_percent" fld="17" subtotal="average" baseField="6" baseItem="0" numFmtId="9"/>
  </dataFields>
  <formats count="3">
    <format dxfId="45">
      <pivotArea outline="0" collapsedLevelsAreSubtotals="1" fieldPosition="0"/>
    </format>
    <format dxfId="44">
      <pivotArea outline="0" collapsedLevelsAreSubtotals="1" fieldPosition="0">
        <references count="1">
          <reference field="4294967294" count="1" selected="0">
            <x v="1"/>
          </reference>
        </references>
      </pivotArea>
    </format>
    <format dxfId="43">
      <pivotArea collapsedLevelsAreSubtotals="1" fieldPosition="0">
        <references count="2">
          <reference field="4294967294" count="1" selected="0">
            <x v="1"/>
          </reference>
          <reference field="6" count="5">
            <x v="0"/>
            <x v="1"/>
            <x v="2"/>
            <x v="4"/>
            <x v="9"/>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36594F-C920-4E19-9911-F3A207FA3F1A}"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28:F29" firstHeaderRow="0" firstDataRow="1" firstDataCol="0"/>
  <pivotFields count="19">
    <pivotField showAll="0"/>
    <pivotField showAll="0">
      <items count="6">
        <item m="1" x="4"/>
        <item m="1" x="1"/>
        <item m="1" x="3"/>
        <item m="1" x="2"/>
        <item x="0"/>
        <item t="default"/>
      </items>
    </pivotField>
    <pivotField showAll="0"/>
    <pivotField showAll="0"/>
    <pivotField dataField="1" showAll="0"/>
    <pivotField showAll="0"/>
    <pivotField showAll="0"/>
    <pivotField showAll="0">
      <items count="6">
        <item m="1" x="2"/>
        <item m="1" x="4"/>
        <item m="1" x="1"/>
        <item m="1" x="3"/>
        <item x="0"/>
        <item t="default"/>
      </items>
    </pivotField>
    <pivotField showAll="0"/>
    <pivotField showAll="0">
      <items count="7">
        <item m="1" x="5"/>
        <item m="1" x="4"/>
        <item m="1" x="2"/>
        <item m="1" x="3"/>
        <item m="1" x="1"/>
        <item x="0"/>
        <item t="default"/>
      </items>
    </pivotField>
    <pivotField showAll="0"/>
    <pivotField showAll="0"/>
    <pivotField dataField="1" showAll="0"/>
    <pivotField showAll="0"/>
    <pivotField showAll="0"/>
    <pivotField dataField="1" showAll="0"/>
    <pivotField dataField="1" showAll="0"/>
    <pivotField showAll="0"/>
    <pivotField showAll="0"/>
  </pivotFields>
  <rowItems count="1">
    <i/>
  </rowItems>
  <colFields count="1">
    <field x="-2"/>
  </colFields>
  <colItems count="4">
    <i>
      <x/>
    </i>
    <i i="1">
      <x v="1"/>
    </i>
    <i i="2">
      <x v="2"/>
    </i>
    <i i="3">
      <x v="3"/>
    </i>
  </colItems>
  <dataFields count="4">
    <dataField name="Sum of total_value" fld="15" baseField="0" baseItem="0"/>
    <dataField name="Sum of quantity" fld="12" baseField="0" baseItem="0"/>
    <dataField name="Count of card_id" fld="4" subtotal="count" baseField="0" baseItem="0"/>
    <dataField name="Sum of gain_dollar" fld="16" baseField="0" baseItem="0"/>
  </dataFields>
  <formats count="1">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FD5EF1-88FC-4801-920E-C67BE694ABFF}"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5:E17" firstHeaderRow="0" firstDataRow="1" firstDataCol="1"/>
  <pivotFields count="19">
    <pivotField showAll="0"/>
    <pivotField showAll="0">
      <items count="6">
        <item m="1" x="4"/>
        <item m="1" x="1"/>
        <item m="1" x="3"/>
        <item m="1" x="2"/>
        <item x="0"/>
        <item t="default"/>
      </items>
    </pivotField>
    <pivotField showAll="0"/>
    <pivotField showAll="0"/>
    <pivotField showAll="0"/>
    <pivotField showAll="0"/>
    <pivotField axis="axisRow" showAll="0" measureFilter="1" sortType="descending">
      <items count="22">
        <item m="1" x="11"/>
        <item m="1" x="1"/>
        <item m="1" x="12"/>
        <item m="1" x="2"/>
        <item m="1" x="16"/>
        <item m="1" x="3"/>
        <item m="1" x="4"/>
        <item m="1" x="19"/>
        <item m="1" x="20"/>
        <item m="1" x="6"/>
        <item m="1" x="5"/>
        <item m="1" x="13"/>
        <item m="1" x="14"/>
        <item m="1" x="7"/>
        <item m="1" x="8"/>
        <item m="1" x="15"/>
        <item m="1" x="17"/>
        <item m="1" x="9"/>
        <item m="1" x="10"/>
        <item m="1" x="18"/>
        <item x="0"/>
        <item t="default"/>
      </items>
      <autoSortScope>
        <pivotArea dataOnly="0" outline="0" fieldPosition="0">
          <references count="1">
            <reference field="4294967294" count="1" selected="0">
              <x v="1"/>
            </reference>
          </references>
        </pivotArea>
      </autoSortScope>
    </pivotField>
    <pivotField showAll="0">
      <items count="6">
        <item m="1" x="2"/>
        <item m="1" x="4"/>
        <item m="1" x="1"/>
        <item m="1" x="3"/>
        <item x="0"/>
        <item t="default"/>
      </items>
    </pivotField>
    <pivotField showAll="0"/>
    <pivotField showAll="0">
      <items count="7">
        <item m="1" x="5"/>
        <item m="1" x="4"/>
        <item m="1" x="2"/>
        <item m="1" x="3"/>
        <item m="1" x="1"/>
        <item x="0"/>
        <item t="default"/>
      </items>
    </pivotField>
    <pivotField showAll="0"/>
    <pivotField showAll="0"/>
    <pivotField showAll="0"/>
    <pivotField showAll="0"/>
    <pivotField showAll="0"/>
    <pivotField showAll="0"/>
    <pivotField dataField="1" showAll="0"/>
    <pivotField dataField="1" showAll="0"/>
    <pivotField showAll="0"/>
  </pivotFields>
  <rowFields count="1">
    <field x="6"/>
  </rowFields>
  <rowItems count="2">
    <i>
      <x v="20"/>
    </i>
    <i t="grand">
      <x/>
    </i>
  </rowItems>
  <colFields count="1">
    <field x="-2"/>
  </colFields>
  <colItems count="2">
    <i>
      <x/>
    </i>
    <i i="1">
      <x v="1"/>
    </i>
  </colItems>
  <dataFields count="2">
    <dataField name="Sum of gain_dollar" fld="16" baseField="0" baseItem="0" numFmtId="44"/>
    <dataField name="Average of gain_percent" fld="17" subtotal="average" baseField="6" baseItem="11" numFmtId="9"/>
  </dataFields>
  <formats count="3">
    <format dxfId="49">
      <pivotArea outline="0" collapsedLevelsAreSubtotals="1" fieldPosition="0"/>
    </format>
    <format dxfId="48">
      <pivotArea outline="0" collapsedLevelsAreSubtotals="1" fieldPosition="0">
        <references count="1">
          <reference field="4294967294" count="1" selected="0">
            <x v="1"/>
          </reference>
        </references>
      </pivotArea>
    </format>
    <format dxfId="47">
      <pivotArea dataOnly="0" labelOnly="1" outline="0" fieldPosition="0">
        <references count="1">
          <reference field="4294967294" count="1">
            <x v="1"/>
          </reference>
        </references>
      </pivotArea>
    </format>
  </format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refreshOnLoad="1" connectionId="7" xr16:uid="{CE12A53B-DB31-4149-8DE6-33E41FBD744B}" autoFormatId="16" applyNumberFormats="0" applyBorderFormats="0" applyFontFormats="0" applyPatternFormats="0" applyAlignmentFormats="0" applyWidthHeightFormats="0">
  <queryTableRefresh nextId="7">
    <queryTableFields count="6">
      <queryTableField id="1" name="set_name" tableColumnId="1"/>
      <queryTableField id="2" name="cards_owned" tableColumnId="2"/>
      <queryTableField id="3" name="set_printed_total" tableColumnId="3"/>
      <queryTableField id="4" name="completion_pct" tableColumnId="4"/>
      <queryTableField id="5" name="total_quantity" tableColumnId="5"/>
      <queryTableField id="6" name="total_valu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1" xr16:uid="{E5EB95B7-EFD3-408F-99C8-570767F67DC2}" autoFormatId="16" applyNumberFormats="0" applyBorderFormats="0" applyFontFormats="0" applyPatternFormats="0" applyAlignmentFormats="0" applyWidthHeightFormats="0">
  <queryTableRefresh nextId="16">
    <queryTableFields count="15">
      <queryTableField id="1" name="card_name" tableColumnId="1"/>
      <queryTableField id="2" name="set_name" tableColumnId="2"/>
      <queryTableField id="3" name="rarity" tableColumnId="3"/>
      <queryTableField id="4" name="condition" tableColumnId="4"/>
      <queryTableField id="5" name="variant" tableColumnId="5"/>
      <queryTableField id="6" name="is_first_edition" tableColumnId="6"/>
      <queryTableField id="7" name="quantity" tableColumnId="7"/>
      <queryTableField id="8" name="purchase_price" tableColumnId="8"/>
      <queryTableField id="9" name="market_price" tableColumnId="9"/>
      <queryTableField id="10" name="total_value" tableColumnId="10"/>
      <queryTableField id="11" name="gain_dollar" tableColumnId="11"/>
      <queryTableField id="12" name="gain_percent" tableColumnId="12"/>
      <queryTableField id="13" name="pricing_warning" tableColumnId="13"/>
      <queryTableField id="14" name="price_missing" tableColumnId="14"/>
      <queryTableField id="15" name="price_missing_reason"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8" xr16:uid="{CFA81C3A-5328-4D48-8465-2FA62452BC11}" autoFormatId="16" applyNumberFormats="0" applyBorderFormats="0" applyFontFormats="0" applyPatternFormats="0" applyAlignmentFormats="0" applyWidthHeightFormats="0">
  <queryTableRefresh nextId="11">
    <queryTableFields count="10">
      <queryTableField id="1" name="card_name" tableColumnId="1"/>
      <queryTableField id="2" name="set_name" tableColumnId="2"/>
      <queryTableField id="3" name="rarity" tableColumnId="3"/>
      <queryTableField id="4" name="current_condition" tableColumnId="4"/>
      <queryTableField id="5" name="target_condition" tableColumnId="5"/>
      <queryTableField id="6" name="quantity" tableColumnId="6"/>
      <queryTableField id="7" name="current_price" tableColumnId="7"/>
      <queryTableField id="8" name="target_price" tableColumnId="8"/>
      <queryTableField id="9" name="upgrade_cost" tableColumnId="9"/>
      <queryTableField id="10" name="price_source"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4" xr16:uid="{D0326A4F-E2D8-4BD0-AEC3-C0C6699899DE}" autoFormatId="16" applyNumberFormats="0" applyBorderFormats="0" applyFontFormats="0" applyPatternFormats="0" applyAlignmentFormats="0" applyWidthHeightFormats="0">
  <queryTableRefresh nextId="8">
    <queryTableFields count="7">
      <queryTableField id="1" name="sample_date" tableColumnId="1"/>
      <queryTableField id="2" name="set_name" tableColumnId="2"/>
      <queryTableField id="3" name="card_name" tableColumnId="3"/>
      <queryTableField id="4" name="condition" tableColumnId="4"/>
      <queryTableField id="5" name="qty" tableColumnId="5"/>
      <queryTableField id="6" name="market_price" tableColumnId="6"/>
      <queryTableField id="7" name="holding_value"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refreshOnLoad="1" connectionId="2" xr16:uid="{6B0D2228-E5DD-4B45-8632-AF4D6205C293}" autoFormatId="16" applyNumberFormats="0" applyBorderFormats="0" applyFontFormats="0" applyPatternFormats="0" applyAlignmentFormats="0" applyWidthHeightFormats="0">
  <queryTableRefresh nextId="22">
    <queryTableFields count="21">
      <queryTableField id="1" name="set_id" tableColumnId="1"/>
      <queryTableField id="2" name="set_name" tableColumnId="2"/>
      <queryTableField id="3" name="set_printed_total" tableColumnId="3"/>
      <queryTableField id="4" name="set_total_with_secrets" tableColumnId="4"/>
      <queryTableField id="5" name="card_id" tableColumnId="5"/>
      <queryTableField id="6" name="card_number" tableColumnId="6"/>
      <queryTableField id="7" name="card_name" tableColumnId="7"/>
      <queryTableField id="8" name="rarity" tableColumnId="8"/>
      <queryTableField id="9" name="supertype" tableColumnId="9"/>
      <queryTableField id="10" name="condition" tableColumnId="10"/>
      <queryTableField id="11" name="variant" tableColumnId="11"/>
      <queryTableField id="12" name="is_first_edition" tableColumnId="12"/>
      <queryTableField id="13" name="quantity" tableColumnId="13"/>
      <queryTableField id="14" name="purchase_price" tableColumnId="14"/>
      <queryTableField id="15" name="market_price" tableColumnId="15"/>
      <queryTableField id="16" name="total_value" tableColumnId="16"/>
      <queryTableField id="17" name="gain_dollar" tableColumnId="17"/>
      <queryTableField id="18" name="gain_percent" tableColumnId="18"/>
      <queryTableField id="19" name="pricing_warning" tableColumnId="19"/>
      <queryTableField id="20" name="price_missing" tableColumnId="20"/>
      <queryTableField id="21" name="price_missing_reason"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t_name" xr10:uid="{61367BF9-9707-434F-9BBC-237B91F85999}" sourceName="set_name">
  <pivotTables>
    <pivotTable tabId="8" name="PivotTable1"/>
    <pivotTable tabId="8" name="PivotTable2"/>
    <pivotTable tabId="8" name="PivotTable3"/>
    <pivotTable tabId="8" name="PivotTable5"/>
    <pivotTable tabId="8" name="PivotTable4"/>
  </pivotTables>
  <data>
    <tabular pivotCacheId="398028477">
      <items count="5">
        <i x="4" s="1" nd="1"/>
        <i x="1" s="1" nd="1"/>
        <i x="3" s="1" nd="1"/>
        <i x="2"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rity" xr10:uid="{2A6E6CBF-1497-42DB-A6BC-71D08D6110AD}" sourceName="rarity">
  <pivotTables>
    <pivotTable tabId="8" name="PivotTable1"/>
    <pivotTable tabId="8" name="PivotTable2"/>
    <pivotTable tabId="8" name="PivotTable3"/>
    <pivotTable tabId="8" name="PivotTable4"/>
    <pivotTable tabId="8" name="PivotTable5"/>
  </pivotTables>
  <data>
    <tabular pivotCacheId="398028477">
      <items count="5">
        <i x="2" s="1" nd="1"/>
        <i x="4" s="1" nd="1"/>
        <i x="1" s="1" nd="1"/>
        <i x="3" s="1" nd="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0C72B1C0-6DAA-499D-9F32-CC9FF7C1D798}" sourceName="condition">
  <pivotTables>
    <pivotTable tabId="8" name="PivotTable1"/>
    <pivotTable tabId="8" name="PivotTable2"/>
    <pivotTable tabId="8" name="PivotTable3"/>
    <pivotTable tabId="8" name="PivotTable4"/>
    <pivotTable tabId="8" name="PivotTable5"/>
  </pivotTables>
  <data>
    <tabular pivotCacheId="398028477">
      <items count="6">
        <i x="5" s="1" nd="1"/>
        <i x="4" s="1" nd="1"/>
        <i x="2" s="1" nd="1"/>
        <i x="3" s="1" nd="1"/>
        <i x="1" s="1" nd="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t_name 1" xr10:uid="{C7F29ADC-775E-48AE-AF7B-15D8AF7EA2E8}" cache="Slicer_set_name" caption="Sets" rowHeight="241300"/>
  <slicer name="rarity 1" xr10:uid="{17A67C12-F1D8-4E43-8440-4983B67A059D}" cache="Slicer_rarity" caption="Rarities" rowHeight="257175"/>
  <slicer name="condition 1" xr10:uid="{B95DDC91-5DB8-42B9-8B64-2B2A594DACB7}" cache="Slicer_condition" caption="Conditions"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t_name" xr10:uid="{A183F819-D93E-43C2-8B6D-27D4254A466B}" cache="Slicer_set_name" caption="set_name" rowHeight="241300"/>
  <slicer name="rarity" xr10:uid="{E00F101D-F347-4CFE-AF00-6ECD199D09D3}" cache="Slicer_rarity" caption="rarity" rowHeight="257175"/>
  <slicer name="condition" xr10:uid="{F2D3E3E2-7006-4BEB-9F1B-BFC80592B329}" cache="Slicer_condition" caption="condition"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8DBD83-5286-48EC-862B-B59C853B2251}" name="tSetsRanked" displayName="tSetsRanked" ref="A1:F2" tableType="queryTable" totalsRowShown="0" headerRowDxfId="65">
  <autoFilter ref="A1:F2" xr:uid="{458DBD83-5286-48EC-862B-B59C853B2251}"/>
  <tableColumns count="6">
    <tableColumn id="1" xr3:uid="{C56CBD24-AB38-4C0B-BBDF-41856E81FD4B}" uniqueName="1" name="set_name" queryTableFieldId="1" dataDxfId="64"/>
    <tableColumn id="2" xr3:uid="{D3C8A45F-5AB7-40B3-9FD9-DC24FCF6AB20}" uniqueName="2" name="cards_owned" queryTableFieldId="2"/>
    <tableColumn id="3" xr3:uid="{4183647F-C0F9-459D-98FB-CF37AB845A49}" uniqueName="3" name="set_printed_total" queryTableFieldId="3"/>
    <tableColumn id="4" xr3:uid="{1609EF8A-E05E-480C-A815-1FE016965A9B}" uniqueName="4" name="completion_pct" queryTableFieldId="4" dataDxfId="6" dataCellStyle="Percent"/>
    <tableColumn id="5" xr3:uid="{4BFE5C58-50A4-4EB2-AF3D-0ECF76CE26DF}" uniqueName="5" name="total_quantity" queryTableFieldId="5"/>
    <tableColumn id="6" xr3:uid="{6ECC9A17-46E6-415C-81E0-852CDF231468}" uniqueName="6" name="total_value" queryTableFieldId="6" dataDxfId="5" dataCellStyle="Currency"/>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CB5D990-4CFC-4FF3-AF90-63224CA73D0A}" name="tCardsRanked" displayName="tCardsRanked" ref="A1:O2" tableType="queryTable" totalsRowShown="0" headerRowDxfId="63">
  <autoFilter ref="A1:O2" xr:uid="{DCB5D990-4CFC-4FF3-AF90-63224CA73D0A}"/>
  <sortState xmlns:xlrd2="http://schemas.microsoft.com/office/spreadsheetml/2017/richdata2" ref="A2:O2">
    <sortCondition ref="L1:L2"/>
  </sortState>
  <tableColumns count="15">
    <tableColumn id="1" xr3:uid="{55CCD1FB-2540-4617-B73E-E39C945191C8}" uniqueName="1" name="card_name" queryTableFieldId="1" dataDxfId="62"/>
    <tableColumn id="2" xr3:uid="{44971032-4F15-407E-8AEC-2E4F2564C78C}" uniqueName="2" name="set_name" queryTableFieldId="2" dataDxfId="61"/>
    <tableColumn id="3" xr3:uid="{2EA3BFCA-98B1-4E9D-A421-008CE66A1BD5}" uniqueName="3" name="rarity" queryTableFieldId="3" dataDxfId="60"/>
    <tableColumn id="4" xr3:uid="{5F17869B-E74F-4CE2-969A-8B7C50AC79DD}" uniqueName="4" name="condition" queryTableFieldId="4" dataDxfId="59"/>
    <tableColumn id="5" xr3:uid="{F1AAFF3B-20BE-4E98-AF01-C01F42E0734F}" uniqueName="5" name="variant" queryTableFieldId="5" dataDxfId="58"/>
    <tableColumn id="6" xr3:uid="{ECE3C763-6672-4591-ABD5-7E4FBF8612D2}" uniqueName="6" name="is_first_edition" queryTableFieldId="6"/>
    <tableColumn id="7" xr3:uid="{3ADE7A6F-A934-48B4-9D12-6CEA174BEC9C}" uniqueName="7" name="quantity" queryTableFieldId="7" dataDxfId="13"/>
    <tableColumn id="8" xr3:uid="{F4763B9C-D0ED-4E87-9CD1-8CB370B58CBD}" uniqueName="8" name="purchase_price" queryTableFieldId="8" dataDxfId="12" dataCellStyle="Currency"/>
    <tableColumn id="9" xr3:uid="{063B02FC-8C73-42D9-B4DD-16D4BE79C104}" uniqueName="9" name="market_price" queryTableFieldId="9" dataDxfId="11" dataCellStyle="Currency"/>
    <tableColumn id="10" xr3:uid="{306E10EE-674E-480D-9CBA-9DA9357F751D}" uniqueName="10" name="total_value" queryTableFieldId="10" dataDxfId="10" dataCellStyle="Currency"/>
    <tableColumn id="11" xr3:uid="{8A414B43-3A81-4C51-9360-AF55434C1271}" uniqueName="11" name="gain_dollar" queryTableFieldId="11" dataDxfId="9" dataCellStyle="Currency"/>
    <tableColumn id="12" xr3:uid="{1580E086-52CE-404C-870A-E63E537AD894}" uniqueName="12" name="gain_percent" queryTableFieldId="12" dataDxfId="8" dataCellStyle="Percent"/>
    <tableColumn id="13" xr3:uid="{DDF99133-137B-4CFA-9FAD-F0BE218D0657}" uniqueName="13" name="pricing_warning" queryTableFieldId="13"/>
    <tableColumn id="14" xr3:uid="{B05E0809-6D25-44A6-9FA6-E7DE0A26C0FF}" uniqueName="14" name="price_missing" queryTableFieldId="14"/>
    <tableColumn id="15" xr3:uid="{024B9DB4-934D-43E4-A8F7-DE52FEDFFE9A}" uniqueName="15" name="price_missing_reason" queryTableFieldId="15" dataDxfId="7"/>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CCB61CC-12CD-4D9A-8003-2F4CD784CEEB}" name="tUpgradeCost" displayName="tUpgradeCost" ref="D10:M11" tableType="queryTable" insertRow="1" totalsRowShown="0" headerRowDxfId="53">
  <autoFilter ref="D10:M11" xr:uid="{BCCB61CC-12CD-4D9A-8003-2F4CD784CEEB}"/>
  <tableColumns count="10">
    <tableColumn id="1" xr3:uid="{678DD769-EA19-496B-9EED-E70FF75EBA90}" uniqueName="1" name="card_name" queryTableFieldId="1"/>
    <tableColumn id="2" xr3:uid="{6CBAEE48-391B-4059-9A3E-3EB7062E657B}" uniqueName="2" name="set_name" queryTableFieldId="2"/>
    <tableColumn id="3" xr3:uid="{6CC5EC81-DFEF-4518-8CA9-668FECA163EE}" uniqueName="3" name="rarity" queryTableFieldId="3"/>
    <tableColumn id="4" xr3:uid="{79D76264-9A42-4797-BEAE-B39944F29940}" uniqueName="4" name="current_condition" queryTableFieldId="4"/>
    <tableColumn id="5" xr3:uid="{AFF9E74D-B302-4B7B-B365-047846E76BBF}" uniqueName="5" name="target_condition" queryTableFieldId="5"/>
    <tableColumn id="6" xr3:uid="{69BA0CEC-1BCD-497A-8383-E2A4541E4A22}" uniqueName="6" name="quantity" queryTableFieldId="6"/>
    <tableColumn id="7" xr3:uid="{2DF9CA64-ED42-4DED-A46B-193FCA26D00E}" uniqueName="7" name="current_price" queryTableFieldId="7" dataDxfId="17" dataCellStyle="Currency"/>
    <tableColumn id="8" xr3:uid="{F29F6311-3389-4ADE-B87B-67B54040B70B}" uniqueName="8" name="target_price" queryTableFieldId="8" dataDxfId="16" dataCellStyle="Currency"/>
    <tableColumn id="9" xr3:uid="{2B48ABBE-63CB-47AF-9E19-C6A4D424A649}" uniqueName="9" name="upgrade_cost" queryTableFieldId="9" dataDxfId="15" dataCellStyle="Currency"/>
    <tableColumn id="10" xr3:uid="{32E39364-2E0F-4B1F-AC51-6CA4E896C4D2}" uniqueName="10" name="price_source" queryTableFieldId="10"/>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llection_details" displayName="collection_details" ref="A1:U2" insertRow="1">
  <autoFilter ref="A1:U2" xr:uid="{00000000-0009-0000-0100-000001000000}"/>
  <tableColumns count="21">
    <tableColumn id="1" xr3:uid="{00000000-0010-0000-0000-000001000000}" name="set_id"/>
    <tableColumn id="2" xr3:uid="{00000000-0010-0000-0000-000002000000}" name="set_name"/>
    <tableColumn id="3" xr3:uid="{00000000-0010-0000-0000-000003000000}" name="set_printed_total"/>
    <tableColumn id="4" xr3:uid="{00000000-0010-0000-0000-000004000000}" name="set_total_with_secrets"/>
    <tableColumn id="5" xr3:uid="{00000000-0010-0000-0000-000005000000}" name="card_id"/>
    <tableColumn id="6" xr3:uid="{00000000-0010-0000-0000-000006000000}" name="card_number"/>
    <tableColumn id="7" xr3:uid="{00000000-0010-0000-0000-000007000000}" name="card_name"/>
    <tableColumn id="8" xr3:uid="{00000000-0010-0000-0000-000008000000}" name="rarity"/>
    <tableColumn id="9" xr3:uid="{00000000-0010-0000-0000-000009000000}" name="supertype"/>
    <tableColumn id="10" xr3:uid="{00000000-0010-0000-0000-00000A000000}" name="condition"/>
    <tableColumn id="11" xr3:uid="{00000000-0010-0000-0000-00000B000000}" name="variant"/>
    <tableColumn id="12" xr3:uid="{00000000-0010-0000-0000-00000C000000}" name="is_first_edition"/>
    <tableColumn id="13" xr3:uid="{00000000-0010-0000-0000-00000D000000}" name="quantity"/>
    <tableColumn id="14" xr3:uid="{00000000-0010-0000-0000-00000E000000}" name="purchase_price"/>
    <tableColumn id="15" xr3:uid="{00000000-0010-0000-0000-00000F000000}" name="market_price"/>
    <tableColumn id="16" xr3:uid="{00000000-0010-0000-0000-000010000000}" name="total_value"/>
    <tableColumn id="17" xr3:uid="{00000000-0010-0000-0000-000011000000}" name="gain_dollar"/>
    <tableColumn id="18" xr3:uid="{00000000-0010-0000-0000-000012000000}" name="gain_percent"/>
    <tableColumn id="19" xr3:uid="{00000000-0010-0000-0000-000013000000}" name="pricing_warning"/>
    <tableColumn id="20" xr3:uid="{00000000-0010-0000-0300-000014000000}" name="price_missing"/>
    <tableColumn id="21" xr3:uid="{00000000-0010-0000-0300-000015000000}" name="price_missing_reason"/>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ndition_multipliers" displayName="condition_multipliers" ref="A1:H2" insertRow="1">
  <autoFilter ref="A1:H2" xr:uid="{00000000-0009-0000-0100-000002000000}"/>
  <tableColumns count="8">
    <tableColumn id="1" xr3:uid="{00000000-0010-0000-0100-000001000000}" name="set_id"/>
    <tableColumn id="2" xr3:uid="{00000000-0010-0000-0100-000002000000}" name="set_name"/>
    <tableColumn id="3" xr3:uid="{00000000-0010-0000-0100-000003000000}" name="grouping_type"/>
    <tableColumn id="4" xr3:uid="{00000000-0010-0000-0100-000004000000}" name="grouping_value"/>
    <tableColumn id="5" xr3:uid="{00000000-0010-0000-0100-000005000000}" name="from_condition"/>
    <tableColumn id="6" xr3:uid="{00000000-0010-0000-0100-000006000000}" name="to_condition"/>
    <tableColumn id="7" xr3:uid="{00000000-0010-0000-0100-000007000000}" name="multiplier"/>
    <tableColumn id="8" xr3:uid="{00000000-0010-0000-0100-000008000000}" name="data_points"/>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historic_prices" displayName="historic_prices" ref="A1:F2" insertRow="1">
  <autoFilter ref="A1:F2" xr:uid="{00000000-0009-0000-0100-000003000000}"/>
  <tableColumns count="6">
    <tableColumn id="1" xr3:uid="{00000000-0010-0000-0200-000001000000}" name="card_id"/>
    <tableColumn id="2" xr3:uid="{00000000-0010-0000-0200-000002000000}" name="card_name"/>
    <tableColumn id="3" xr3:uid="{00000000-0010-0000-0200-000003000000}" name="set_name"/>
    <tableColumn id="4" xr3:uid="{00000000-0010-0000-0200-000004000000}" name="condition"/>
    <tableColumn id="5" xr3:uid="{00000000-0010-0000-0200-000005000000}" name="sample_date"/>
    <tableColumn id="6" xr3:uid="{00000000-0010-0000-0200-000006000000}" name="market_price"/>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ard_prices_all_conditions" displayName="card_prices_all_conditions" ref="A1:E2" insertRow="1">
  <autoFilter ref="A1:E2" xr:uid="{00000000-0009-0000-0100-000004000000}"/>
  <tableColumns count="5">
    <tableColumn id="1" xr3:uid="{00000000-0010-0000-0300-000001000000}" name="card_id"/>
    <tableColumn id="2" xr3:uid="{00000000-0010-0000-0300-000002000000}" name="card_name"/>
    <tableColumn id="3" xr3:uid="{00000000-0010-0000-0300-000003000000}" name="set_name"/>
    <tableColumn id="4" xr3:uid="{00000000-0010-0000-0300-000004000000}" name="condition"/>
    <tableColumn id="5" xr3:uid="{00000000-0010-0000-0300-000005000000}" name="market_price"/>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44BAFB4-6B77-478F-859E-C3D629931B1E}" name="tHistoricValue" displayName="tHistoricValue" ref="A1:G2" tableType="queryTable" totalsRowShown="0">
  <autoFilter ref="A1:G2" xr:uid="{C44BAFB4-6B77-478F-859E-C3D629931B1E}"/>
  <tableColumns count="7">
    <tableColumn id="1" xr3:uid="{DCE16467-C63A-4DBB-BCFC-7CC8C7A09384}" uniqueName="1" name="sample_date" queryTableFieldId="1" dataDxfId="14"/>
    <tableColumn id="2" xr3:uid="{78D295C9-7221-480E-BB66-BCD211EB93C7}" uniqueName="2" name="set_name" queryTableFieldId="2" dataDxfId="52"/>
    <tableColumn id="3" xr3:uid="{1C3B29C3-298D-457B-8559-2940D688DCFD}" uniqueName="3" name="card_name" queryTableFieldId="3" dataDxfId="51"/>
    <tableColumn id="4" xr3:uid="{AD30C74A-C9F0-4CE7-85FD-B6B19DCCEBAC}" uniqueName="4" name="condition" queryTableFieldId="4" dataDxfId="50"/>
    <tableColumn id="5" xr3:uid="{2B5B0514-F864-4087-A895-1400BBE07746}" uniqueName="5" name="qty" queryTableFieldId="5"/>
    <tableColumn id="6" xr3:uid="{5B4BC666-C5FE-43A1-8A06-B4B688CBA3C5}" uniqueName="6" name="market_price" queryTableFieldId="6"/>
    <tableColumn id="7" xr3:uid="{9A6D5E50-FABD-4A5D-B9FC-12A999D84C9C}" uniqueName="7" name="holding_value" queryTableFieldId="7"/>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5D761EB-6174-439C-A8B3-69ADE6E27491}" name="tData" displayName="tData" ref="A1:U2" tableType="queryTable" totalsRowShown="0">
  <autoFilter ref="A1:U2" xr:uid="{E5D761EB-6174-439C-A8B3-69ADE6E27491}"/>
  <tableColumns count="21">
    <tableColumn id="1" xr3:uid="{449FD6B7-DE37-4671-9B7D-BDC35C31FAF7}" uniqueName="1" name="set_id" queryTableFieldId="1" dataDxfId="41"/>
    <tableColumn id="2" xr3:uid="{001A5C25-392A-463C-80AA-9832A9F01639}" uniqueName="2" name="set_name" queryTableFieldId="2" dataDxfId="40"/>
    <tableColumn id="3" xr3:uid="{38484827-F293-48EF-9DA9-14BE63B09C90}" uniqueName="3" name="set_printed_total" queryTableFieldId="3"/>
    <tableColumn id="4" xr3:uid="{7096F563-EC01-48B3-BAA4-5FD355EF299A}" uniqueName="4" name="set_total_with_secrets" queryTableFieldId="4"/>
    <tableColumn id="5" xr3:uid="{E61265DC-878F-49A8-9AF7-82902DA72D81}" uniqueName="5" name="card_id" queryTableFieldId="5" dataDxfId="39"/>
    <tableColumn id="6" xr3:uid="{E377D0F4-5A14-47C5-9C7F-BB3CDAFE0A1F}" uniqueName="6" name="card_number" queryTableFieldId="6" dataDxfId="38"/>
    <tableColumn id="7" xr3:uid="{1C6B2A96-33FE-468C-9708-54C5CFF37E93}" uniqueName="7" name="card_name" queryTableFieldId="7" dataDxfId="37"/>
    <tableColumn id="8" xr3:uid="{92273F9A-166F-48B7-B9EE-82E27AFB2573}" uniqueName="8" name="rarity" queryTableFieldId="8" dataDxfId="36"/>
    <tableColumn id="9" xr3:uid="{C11A4A99-D876-45E8-9D30-BC93D38F52B4}" uniqueName="9" name="supertype" queryTableFieldId="9" dataDxfId="35"/>
    <tableColumn id="10" xr3:uid="{938DE0C1-48B2-4287-918D-3ADF9A4EAF93}" uniqueName="10" name="condition" queryTableFieldId="10" dataDxfId="34"/>
    <tableColumn id="11" xr3:uid="{B5532DFF-4339-4566-B8BF-7D248BEF718B}" uniqueName="11" name="variant" queryTableFieldId="11" dataDxfId="33"/>
    <tableColumn id="12" xr3:uid="{EF349143-898B-4F57-B49A-6EFBE7894B1F}" uniqueName="12" name="is_first_edition" queryTableFieldId="12"/>
    <tableColumn id="13" xr3:uid="{517F0296-19A1-4C7B-A28C-566B5F298B8A}" uniqueName="13" name="quantity" queryTableFieldId="13"/>
    <tableColumn id="14" xr3:uid="{5E2CD63D-5F00-45C7-8E7D-3996C4887B20}" uniqueName="14" name="purchase_price" queryTableFieldId="14"/>
    <tableColumn id="15" xr3:uid="{2CD8D089-512D-477F-845E-97B2FFBC5BD0}" uniqueName="15" name="market_price" queryTableFieldId="15"/>
    <tableColumn id="16" xr3:uid="{28F8F469-BA0E-46EF-8BA5-CD99887FB22C}" uniqueName="16" name="total_value" queryTableFieldId="16"/>
    <tableColumn id="17" xr3:uid="{FE6B13D2-7CC3-4FC3-86FE-EEE5154A857B}" uniqueName="17" name="gain_dollar" queryTableFieldId="17"/>
    <tableColumn id="18" xr3:uid="{E918C9BF-DDAB-4DE4-900D-D4027CDFC469}" uniqueName="18" name="gain_percent" queryTableFieldId="18" dataDxfId="20" dataCellStyle="Percent"/>
    <tableColumn id="19" xr3:uid="{8A013E3E-BD7D-42AB-A80B-4E40798BA7F9}" uniqueName="19" name="pricing_warning" queryTableFieldId="19"/>
    <tableColumn id="20" xr3:uid="{8C23BB9C-89C1-4DA3-95B6-5C085AF08DF4}" uniqueName="20" name="price_missing" queryTableFieldId="20" dataDxfId="19"/>
    <tableColumn id="21" xr3:uid="{8897C834-3F13-4B43-BE62-E6F8581359E0}" uniqueName="21" name="price_missing_reason" queryTableFieldId="21" dataDxfId="18"/>
  </tableColumns>
  <tableStyleInfo name="TableStyleMedium7" showFirstColumn="0" showLastColumn="0" showRowStripes="1" showColumnStripes="0"/>
</table>
</file>

<file path=xl/theme/theme1.xml><?xml version="1.0" encoding="utf-8"?>
<a:theme xmlns:a="http://schemas.openxmlformats.org/drawingml/2006/main" name="Card Market Dashboard">
  <a:themeElements>
    <a:clrScheme name="Card Market Dashboard">
      <a:dk1>
        <a:srgbClr val="12121F"/>
      </a:dk1>
      <a:lt1>
        <a:srgbClr val="F2F2F7"/>
      </a:lt1>
      <a:dk2>
        <a:srgbClr val="1E1E30"/>
      </a:dk2>
      <a:lt2>
        <a:srgbClr val="E8E8F0"/>
      </a:lt2>
      <a:accent1>
        <a:srgbClr val="E8412A"/>
      </a:accent1>
      <a:accent2>
        <a:srgbClr val="F5C842"/>
      </a:accent2>
      <a:accent3>
        <a:srgbClr val="A0A0B8"/>
      </a:accent3>
      <a:accent4>
        <a:srgbClr val="5A6B9E"/>
      </a:accent4>
      <a:accent5>
        <a:srgbClr val="8A8AA0"/>
      </a:accent5>
      <a:accent6>
        <a:srgbClr val="C25E3A"/>
      </a:accent6>
      <a:hlink>
        <a:srgbClr val="F5C842"/>
      </a:hlink>
      <a:folHlink>
        <a:srgbClr val="A0A0B8"/>
      </a:folHlink>
    </a:clrScheme>
    <a:fontScheme name="Card Market Dashboard">
      <a:majorFont>
        <a:latin typeface="Aptos Display" panose="02110004020202020204"/>
        <a:ea typeface=""/>
        <a:cs typeface=""/>
      </a:majorFont>
      <a:minorFont>
        <a:latin typeface="Aptos" panose="02110004020202020204"/>
        <a:ea typeface=""/>
        <a:cs typeface=""/>
      </a:minorFont>
    </a:fontScheme>
    <a:fmtScheme name="Card Market Dashboard">
      <a:fillStyleLst>
        <a:solidFill>
          <a:schemeClr val="phClr"/>
        </a:solidFill>
        <a:gradFill rotWithShape="1">
          <a:gsLst>
            <a:gs pos="0">
              <a:schemeClr val="phClr">
                <a:lumMod val="112000"/>
                <a:satMod val="102000"/>
              </a:schemeClr>
            </a:gs>
            <a:gs pos="100000">
              <a:schemeClr val="phClr">
                <a:lumMod val="92000"/>
                <a:satMod val="104000"/>
              </a:schemeClr>
            </a:gs>
          </a:gsLst>
          <a:lin ang="5400000" scaled="0"/>
        </a:gradFill>
        <a:gradFill rotWithShape="1">
          <a:gsLst>
            <a:gs pos="0">
              <a:schemeClr val="phClr">
                <a:lumMod val="104000"/>
              </a:schemeClr>
            </a:gs>
            <a:gs pos="100000">
              <a:schemeClr val="phClr">
                <a:lumMod val="82000"/>
              </a:schemeClr>
            </a:gs>
          </a:gsLst>
          <a:lin ang="5400000" scaled="0"/>
        </a:gradFill>
      </a:fillStyleLst>
      <a:lnStyleLst>
        <a:ln w="9525" cap="rnd" cmpd="sng" algn="ctr">
          <a:solidFill>
            <a:schemeClr val="phClr"/>
          </a:solidFill>
          <a:round/>
        </a:ln>
        <a:ln w="15875" cap="rnd" cmpd="sng" algn="ctr">
          <a:solidFill>
            <a:schemeClr val="phClr"/>
          </a:solidFill>
          <a:round/>
        </a:ln>
        <a:ln w="25400" cap="rnd" cmpd="sng" algn="ctr">
          <a:solidFill>
            <a:schemeClr val="phClr"/>
          </a:solidFill>
          <a:round/>
        </a:ln>
      </a:lnStyleLst>
      <a:effectStyleLst>
        <a:effectStyle>
          <a:effectLst/>
        </a:effectStyle>
        <a:effectStyle>
          <a:effectLst/>
        </a:effectStyle>
        <a:effectStyle>
          <a:effectLst>
            <a:outerShdw blurRad="50800" dist="19050" dir="5400000" algn="ctr" rotWithShape="0">
              <a:srgbClr val="12121F">
                <a:alpha val="34000"/>
              </a:srgbClr>
            </a:outerShdw>
          </a:effectLst>
        </a:effectStyle>
      </a:effectStyleLst>
      <a:bgFillStyleLst>
        <a:solidFill>
          <a:schemeClr val="phClr"/>
        </a:solidFill>
        <a:solidFill>
          <a:schemeClr val="phClr">
            <a:lumMod val="98000"/>
          </a:schemeClr>
        </a:solidFill>
        <a:gradFill rotWithShape="1">
          <a:gsLst>
            <a:gs pos="0">
              <a:schemeClr val="phClr">
                <a:lumMod val="104000"/>
              </a:schemeClr>
            </a:gs>
            <a:gs pos="100000">
              <a:schemeClr val="phClr">
                <a:lumMod val="88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5.xml"/><Relationship Id="rId7" Type="http://schemas.microsoft.com/office/2007/relationships/slicer" Target="../slicers/slicer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3.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30176-5215-40F2-8E40-64254395DADE}">
  <sheetPr>
    <tabColor theme="7" tint="-0.249977111117893"/>
  </sheetPr>
  <dimension ref="A1:B84"/>
  <sheetViews>
    <sheetView showGridLines="0" workbookViewId="0"/>
  </sheetViews>
  <sheetFormatPr defaultRowHeight="15" x14ac:dyDescent="0.25"/>
  <cols>
    <col min="1" max="1" width="30" customWidth="1"/>
    <col min="2" max="2" width="118" customWidth="1"/>
  </cols>
  <sheetData>
    <row r="1" spans="1:2" x14ac:dyDescent="0.25">
      <c r="A1" t="s">
        <v>44</v>
      </c>
      <c r="B1" t="s">
        <v>45</v>
      </c>
    </row>
    <row r="2" spans="1:2" x14ac:dyDescent="0.25">
      <c r="A2" t="s">
        <v>46</v>
      </c>
      <c r="B2" t="s">
        <v>47</v>
      </c>
    </row>
    <row r="3" spans="1:2" x14ac:dyDescent="0.25">
      <c r="A3" t="s">
        <v>48</v>
      </c>
      <c r="B3" t="s">
        <v>49</v>
      </c>
    </row>
    <row r="4" spans="1:2" x14ac:dyDescent="0.25">
      <c r="A4" t="s">
        <v>50</v>
      </c>
      <c r="B4" t="s">
        <v>51</v>
      </c>
    </row>
    <row r="5" spans="1:2" x14ac:dyDescent="0.25">
      <c r="A5" t="s">
        <v>164</v>
      </c>
      <c r="B5" s="36" t="s">
        <v>165</v>
      </c>
    </row>
    <row r="7" spans="1:2" x14ac:dyDescent="0.25">
      <c r="A7" t="s">
        <v>52</v>
      </c>
    </row>
    <row r="8" spans="1:2" x14ac:dyDescent="0.25">
      <c r="B8" t="s">
        <v>53</v>
      </c>
    </row>
    <row r="9" spans="1:2" x14ac:dyDescent="0.25">
      <c r="B9" t="s">
        <v>54</v>
      </c>
    </row>
    <row r="10" spans="1:2" x14ac:dyDescent="0.25">
      <c r="B10" t="s">
        <v>55</v>
      </c>
    </row>
    <row r="11" spans="1:2" x14ac:dyDescent="0.25">
      <c r="B11" t="s">
        <v>56</v>
      </c>
    </row>
    <row r="13" spans="1:2" x14ac:dyDescent="0.25">
      <c r="A13" t="s">
        <v>57</v>
      </c>
    </row>
    <row r="14" spans="1:2" x14ac:dyDescent="0.25">
      <c r="A14" t="s">
        <v>58</v>
      </c>
      <c r="B14" t="s">
        <v>59</v>
      </c>
    </row>
    <row r="15" spans="1:2" x14ac:dyDescent="0.25">
      <c r="A15" t="s">
        <v>60</v>
      </c>
      <c r="B15" t="s">
        <v>61</v>
      </c>
    </row>
    <row r="16" spans="1:2" x14ac:dyDescent="0.25">
      <c r="A16" t="s">
        <v>62</v>
      </c>
      <c r="B16" t="s">
        <v>63</v>
      </c>
    </row>
    <row r="17" spans="1:2" x14ac:dyDescent="0.25">
      <c r="A17" t="s">
        <v>64</v>
      </c>
      <c r="B17" t="s">
        <v>65</v>
      </c>
    </row>
    <row r="19" spans="1:2" x14ac:dyDescent="0.25">
      <c r="A19" t="s">
        <v>66</v>
      </c>
    </row>
    <row r="21" spans="1:2" x14ac:dyDescent="0.25">
      <c r="A21" t="s">
        <v>67</v>
      </c>
      <c r="B21" t="s">
        <v>68</v>
      </c>
    </row>
    <row r="22" spans="1:2" x14ac:dyDescent="0.25">
      <c r="A22" t="s">
        <v>69</v>
      </c>
      <c r="B22" t="s">
        <v>70</v>
      </c>
    </row>
    <row r="23" spans="1:2" x14ac:dyDescent="0.25">
      <c r="A23" t="s">
        <v>71</v>
      </c>
      <c r="B23" t="s">
        <v>72</v>
      </c>
    </row>
    <row r="24" spans="1:2" x14ac:dyDescent="0.25">
      <c r="A24" t="s">
        <v>73</v>
      </c>
      <c r="B24" t="s">
        <v>74</v>
      </c>
    </row>
    <row r="25" spans="1:2" x14ac:dyDescent="0.25">
      <c r="A25" t="s">
        <v>75</v>
      </c>
      <c r="B25" t="s">
        <v>76</v>
      </c>
    </row>
    <row r="26" spans="1:2" x14ac:dyDescent="0.25">
      <c r="A26" t="s">
        <v>36</v>
      </c>
      <c r="B26" t="s">
        <v>77</v>
      </c>
    </row>
    <row r="27" spans="1:2" x14ac:dyDescent="0.25">
      <c r="A27" t="s">
        <v>78</v>
      </c>
      <c r="B27" t="s">
        <v>79</v>
      </c>
    </row>
    <row r="28" spans="1:2" x14ac:dyDescent="0.25">
      <c r="A28" t="s">
        <v>35</v>
      </c>
      <c r="B28" t="s">
        <v>80</v>
      </c>
    </row>
    <row r="29" spans="1:2" x14ac:dyDescent="0.25">
      <c r="A29" t="s">
        <v>37</v>
      </c>
      <c r="B29" t="s">
        <v>81</v>
      </c>
    </row>
    <row r="30" spans="1:2" x14ac:dyDescent="0.25">
      <c r="A30" t="s">
        <v>82</v>
      </c>
      <c r="B30" t="s">
        <v>83</v>
      </c>
    </row>
    <row r="32" spans="1:2" x14ac:dyDescent="0.25">
      <c r="A32" t="s">
        <v>84</v>
      </c>
      <c r="B32" t="s">
        <v>85</v>
      </c>
    </row>
    <row r="33" spans="1:2" x14ac:dyDescent="0.25">
      <c r="A33" t="s">
        <v>1</v>
      </c>
      <c r="B33" t="s">
        <v>86</v>
      </c>
    </row>
    <row r="34" spans="1:2" x14ac:dyDescent="0.25">
      <c r="A34" t="s">
        <v>27</v>
      </c>
      <c r="B34" t="s">
        <v>87</v>
      </c>
    </row>
    <row r="35" spans="1:2" x14ac:dyDescent="0.25">
      <c r="A35" t="s">
        <v>2</v>
      </c>
      <c r="B35" t="s">
        <v>88</v>
      </c>
    </row>
    <row r="36" spans="1:2" x14ac:dyDescent="0.25">
      <c r="A36" t="s">
        <v>28</v>
      </c>
      <c r="B36" t="s">
        <v>89</v>
      </c>
    </row>
    <row r="37" spans="1:2" x14ac:dyDescent="0.25">
      <c r="A37" t="s">
        <v>29</v>
      </c>
      <c r="B37" t="s">
        <v>90</v>
      </c>
    </row>
    <row r="38" spans="1:2" x14ac:dyDescent="0.25">
      <c r="A38" t="s">
        <v>15</v>
      </c>
      <c r="B38" t="s">
        <v>91</v>
      </c>
    </row>
    <row r="40" spans="1:2" x14ac:dyDescent="0.25">
      <c r="A40" t="s">
        <v>92</v>
      </c>
      <c r="B40" t="s">
        <v>93</v>
      </c>
    </row>
    <row r="41" spans="1:2" x14ac:dyDescent="0.25">
      <c r="A41" t="s">
        <v>6</v>
      </c>
      <c r="B41" t="s">
        <v>94</v>
      </c>
    </row>
    <row r="42" spans="1:2" x14ac:dyDescent="0.25">
      <c r="A42" t="s">
        <v>1</v>
      </c>
      <c r="B42" t="s">
        <v>95</v>
      </c>
    </row>
    <row r="43" spans="1:2" x14ac:dyDescent="0.25">
      <c r="A43" t="s">
        <v>7</v>
      </c>
      <c r="B43" t="s">
        <v>96</v>
      </c>
    </row>
    <row r="44" spans="1:2" x14ac:dyDescent="0.25">
      <c r="A44" t="s">
        <v>9</v>
      </c>
      <c r="B44" t="s">
        <v>97</v>
      </c>
    </row>
    <row r="45" spans="1:2" x14ac:dyDescent="0.25">
      <c r="A45" t="s">
        <v>10</v>
      </c>
      <c r="B45" t="s">
        <v>98</v>
      </c>
    </row>
    <row r="46" spans="1:2" x14ac:dyDescent="0.25">
      <c r="A46" t="s">
        <v>11</v>
      </c>
      <c r="B46" t="s">
        <v>99</v>
      </c>
    </row>
    <row r="47" spans="1:2" x14ac:dyDescent="0.25">
      <c r="A47" t="s">
        <v>12</v>
      </c>
      <c r="B47" t="s">
        <v>100</v>
      </c>
    </row>
    <row r="48" spans="1:2" x14ac:dyDescent="0.25">
      <c r="A48" t="s">
        <v>13</v>
      </c>
      <c r="B48" t="s">
        <v>101</v>
      </c>
    </row>
    <row r="49" spans="1:2" x14ac:dyDescent="0.25">
      <c r="A49" t="s">
        <v>14</v>
      </c>
      <c r="B49" t="s">
        <v>102</v>
      </c>
    </row>
    <row r="50" spans="1:2" x14ac:dyDescent="0.25">
      <c r="A50" t="s">
        <v>15</v>
      </c>
      <c r="B50" t="s">
        <v>103</v>
      </c>
    </row>
    <row r="51" spans="1:2" x14ac:dyDescent="0.25">
      <c r="A51" t="s">
        <v>16</v>
      </c>
      <c r="B51" t="s">
        <v>104</v>
      </c>
    </row>
    <row r="52" spans="1:2" x14ac:dyDescent="0.25">
      <c r="A52" t="s">
        <v>17</v>
      </c>
      <c r="B52" t="s">
        <v>105</v>
      </c>
    </row>
    <row r="53" spans="1:2" x14ac:dyDescent="0.25">
      <c r="A53" t="s">
        <v>18</v>
      </c>
      <c r="B53" t="s">
        <v>106</v>
      </c>
    </row>
    <row r="54" spans="1:2" x14ac:dyDescent="0.25">
      <c r="A54" t="s">
        <v>160</v>
      </c>
      <c r="B54" t="s">
        <v>162</v>
      </c>
    </row>
    <row r="55" spans="1:2" x14ac:dyDescent="0.25">
      <c r="A55" t="s">
        <v>161</v>
      </c>
      <c r="B55" t="s">
        <v>163</v>
      </c>
    </row>
    <row r="57" spans="1:2" x14ac:dyDescent="0.25">
      <c r="A57" t="s">
        <v>107</v>
      </c>
      <c r="B57" t="s">
        <v>108</v>
      </c>
    </row>
    <row r="58" spans="1:2" x14ac:dyDescent="0.25">
      <c r="A58" t="s">
        <v>109</v>
      </c>
      <c r="B58" t="s">
        <v>110</v>
      </c>
    </row>
    <row r="59" spans="1:2" x14ac:dyDescent="0.25">
      <c r="A59" t="s">
        <v>5</v>
      </c>
      <c r="B59" t="s">
        <v>111</v>
      </c>
    </row>
    <row r="60" spans="1:2" x14ac:dyDescent="0.25">
      <c r="A60" t="s">
        <v>8</v>
      </c>
      <c r="B60" t="s">
        <v>112</v>
      </c>
    </row>
    <row r="61" spans="1:2" x14ac:dyDescent="0.25">
      <c r="A61" t="s">
        <v>3</v>
      </c>
      <c r="B61" t="s">
        <v>113</v>
      </c>
    </row>
    <row r="62" spans="1:2" x14ac:dyDescent="0.25">
      <c r="A62" t="s">
        <v>114</v>
      </c>
      <c r="B62" t="s">
        <v>115</v>
      </c>
    </row>
    <row r="64" spans="1:2" x14ac:dyDescent="0.25">
      <c r="A64" t="s">
        <v>116</v>
      </c>
      <c r="B64" t="s">
        <v>117</v>
      </c>
    </row>
    <row r="65" spans="1:2" x14ac:dyDescent="0.25">
      <c r="A65" t="s">
        <v>20</v>
      </c>
      <c r="B65" t="s">
        <v>118</v>
      </c>
    </row>
    <row r="66" spans="1:2" x14ac:dyDescent="0.25">
      <c r="A66" t="s">
        <v>21</v>
      </c>
      <c r="B66" t="s">
        <v>119</v>
      </c>
    </row>
    <row r="67" spans="1:2" x14ac:dyDescent="0.25">
      <c r="A67" t="s">
        <v>22</v>
      </c>
      <c r="B67" t="s">
        <v>120</v>
      </c>
    </row>
    <row r="68" spans="1:2" x14ac:dyDescent="0.25">
      <c r="A68" t="s">
        <v>23</v>
      </c>
      <c r="B68" t="s">
        <v>121</v>
      </c>
    </row>
    <row r="69" spans="1:2" x14ac:dyDescent="0.25">
      <c r="A69" t="s">
        <v>24</v>
      </c>
      <c r="B69" t="s">
        <v>122</v>
      </c>
    </row>
    <row r="70" spans="1:2" x14ac:dyDescent="0.25">
      <c r="A70" t="s">
        <v>25</v>
      </c>
      <c r="B70" t="s">
        <v>123</v>
      </c>
    </row>
    <row r="72" spans="1:2" x14ac:dyDescent="0.25">
      <c r="A72" t="s">
        <v>124</v>
      </c>
      <c r="B72" t="s">
        <v>125</v>
      </c>
    </row>
    <row r="73" spans="1:2" x14ac:dyDescent="0.25">
      <c r="A73" t="s">
        <v>26</v>
      </c>
      <c r="B73" t="s">
        <v>126</v>
      </c>
    </row>
    <row r="74" spans="1:2" x14ac:dyDescent="0.25">
      <c r="A74" t="s">
        <v>14</v>
      </c>
      <c r="B74" t="s">
        <v>127</v>
      </c>
    </row>
    <row r="76" spans="1:2" x14ac:dyDescent="0.25">
      <c r="A76" t="s">
        <v>128</v>
      </c>
      <c r="B76" t="s">
        <v>129</v>
      </c>
    </row>
    <row r="77" spans="1:2" x14ac:dyDescent="0.25">
      <c r="A77" t="s">
        <v>9</v>
      </c>
      <c r="B77" t="s">
        <v>130</v>
      </c>
    </row>
    <row r="78" spans="1:2" x14ac:dyDescent="0.25">
      <c r="A78" t="s">
        <v>14</v>
      </c>
      <c r="B78" t="s">
        <v>131</v>
      </c>
    </row>
    <row r="80" spans="1:2" x14ac:dyDescent="0.25">
      <c r="A80" t="s">
        <v>132</v>
      </c>
    </row>
    <row r="81" spans="1:2" x14ac:dyDescent="0.25">
      <c r="A81" t="s">
        <v>133</v>
      </c>
      <c r="B81" t="s">
        <v>134</v>
      </c>
    </row>
    <row r="82" spans="1:2" x14ac:dyDescent="0.25">
      <c r="A82" t="s">
        <v>135</v>
      </c>
      <c r="B82" t="s">
        <v>136</v>
      </c>
    </row>
    <row r="83" spans="1:2" x14ac:dyDescent="0.25">
      <c r="A83" t="s">
        <v>137</v>
      </c>
      <c r="B83" t="s">
        <v>138</v>
      </c>
    </row>
    <row r="84" spans="1:2" x14ac:dyDescent="0.25">
      <c r="A84" t="s">
        <v>139</v>
      </c>
      <c r="B84" t="s">
        <v>140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6959D-6B93-4AFD-9644-1F60AD8D63D6}">
  <sheetPr>
    <tabColor theme="5"/>
  </sheetPr>
  <dimension ref="D1:Q146"/>
  <sheetViews>
    <sheetView showGridLines="0" showRowColHeaders="0" tabSelected="1" zoomScaleNormal="100" workbookViewId="0"/>
  </sheetViews>
  <sheetFormatPr defaultRowHeight="15" x14ac:dyDescent="0.25"/>
  <cols>
    <col min="5" max="5" width="9" customWidth="1"/>
  </cols>
  <sheetData>
    <row r="1" spans="5:17" s="16" customFormat="1" x14ac:dyDescent="0.25"/>
    <row r="2" spans="5:17" s="16" customFormat="1" x14ac:dyDescent="0.25"/>
    <row r="3" spans="5:17" s="16" customFormat="1" x14ac:dyDescent="0.25"/>
    <row r="4" spans="5:17" s="16" customFormat="1" x14ac:dyDescent="0.25"/>
    <row r="5" spans="5:17" s="17" customFormat="1" x14ac:dyDescent="0.25"/>
    <row r="6" spans="5:17" s="17" customFormat="1" x14ac:dyDescent="0.25">
      <c r="E6" s="18">
        <f>GETPIVOTDATA("Sum of total_value",'Dashboard Drivers'!$C$28)</f>
        <v>0</v>
      </c>
      <c r="I6" s="17">
        <f>GETPIVOTDATA("Sum of quantity",'Dashboard Drivers'!$C$28)</f>
        <v>0</v>
      </c>
      <c r="M6" s="17">
        <f>GETPIVOTDATA("Count of card_id",'Dashboard Drivers'!$C$28)</f>
        <v>0</v>
      </c>
      <c r="Q6" s="18">
        <f>GETPIVOTDATA("Sum of gain_dollar",'Dashboard Drivers'!$C$28)</f>
        <v>0</v>
      </c>
    </row>
    <row r="7" spans="5:17" s="17" customFormat="1" x14ac:dyDescent="0.25"/>
    <row r="8" spans="5:17" s="17" customFormat="1" x14ac:dyDescent="0.25"/>
    <row r="9" spans="5:17" s="17" customFormat="1" x14ac:dyDescent="0.25"/>
    <row r="10" spans="5:17" s="17" customFormat="1" x14ac:dyDescent="0.25"/>
    <row r="11" spans="5:17" s="17" customFormat="1" x14ac:dyDescent="0.25"/>
    <row r="12" spans="5:17" s="17" customFormat="1" x14ac:dyDescent="0.25">
      <c r="O12" s="19" t="s">
        <v>43</v>
      </c>
      <c r="P12" s="19"/>
    </row>
    <row r="13" spans="5:17" s="17" customFormat="1" x14ac:dyDescent="0.25"/>
    <row r="14" spans="5:17" s="17" customFormat="1" x14ac:dyDescent="0.25"/>
    <row r="15" spans="5:17" s="17" customFormat="1" x14ac:dyDescent="0.25"/>
    <row r="16" spans="5:17" s="17" customFormat="1" x14ac:dyDescent="0.25"/>
    <row r="17" s="17" customFormat="1" x14ac:dyDescent="0.25"/>
    <row r="18" s="17" customFormat="1" x14ac:dyDescent="0.25"/>
    <row r="19" s="17" customFormat="1" x14ac:dyDescent="0.25"/>
    <row r="20" s="17" customFormat="1" x14ac:dyDescent="0.25"/>
    <row r="21" s="17" customFormat="1" x14ac:dyDescent="0.25"/>
    <row r="22" s="17" customFormat="1" x14ac:dyDescent="0.25"/>
    <row r="23" s="17" customFormat="1" x14ac:dyDescent="0.25"/>
    <row r="24" s="17" customFormat="1" x14ac:dyDescent="0.25"/>
    <row r="25" s="17" customFormat="1" x14ac:dyDescent="0.25"/>
    <row r="26" s="17" customFormat="1" x14ac:dyDescent="0.25"/>
    <row r="27" s="17" customFormat="1" x14ac:dyDescent="0.25"/>
    <row r="28" s="17" customFormat="1" x14ac:dyDescent="0.25"/>
    <row r="29" s="17" customFormat="1" x14ac:dyDescent="0.25"/>
    <row r="30" s="17" customFormat="1" x14ac:dyDescent="0.25"/>
    <row r="31" s="17" customFormat="1" x14ac:dyDescent="0.25"/>
    <row r="32" s="17" customFormat="1" x14ac:dyDescent="0.25"/>
    <row r="33" s="17" customFormat="1" x14ac:dyDescent="0.25"/>
    <row r="34" s="17" customFormat="1" x14ac:dyDescent="0.25"/>
    <row r="35" s="17" customFormat="1" x14ac:dyDescent="0.25"/>
    <row r="36" s="17" customFormat="1" x14ac:dyDescent="0.25"/>
    <row r="37" s="17" customFormat="1" x14ac:dyDescent="0.25"/>
    <row r="38" s="17" customFormat="1" x14ac:dyDescent="0.25"/>
    <row r="39" s="17" customFormat="1" x14ac:dyDescent="0.25"/>
    <row r="40" s="17" customFormat="1" x14ac:dyDescent="0.25"/>
    <row r="41" s="17" customFormat="1" x14ac:dyDescent="0.25"/>
    <row r="42" s="17" customFormat="1" x14ac:dyDescent="0.25"/>
    <row r="43" s="17" customFormat="1" x14ac:dyDescent="0.25"/>
    <row r="44" s="17" customFormat="1" x14ac:dyDescent="0.25"/>
    <row r="45" s="17" customFormat="1" x14ac:dyDescent="0.25"/>
    <row r="46" s="17" customFormat="1" x14ac:dyDescent="0.25"/>
    <row r="47" s="17" customFormat="1" x14ac:dyDescent="0.25"/>
    <row r="48" s="17" customFormat="1" x14ac:dyDescent="0.25"/>
    <row r="49" spans="4:4" s="17" customFormat="1" x14ac:dyDescent="0.25"/>
    <row r="50" spans="4:4" s="17" customFormat="1" x14ac:dyDescent="0.25"/>
    <row r="51" spans="4:4" s="17" customFormat="1" x14ac:dyDescent="0.25"/>
    <row r="52" spans="4:4" s="17" customFormat="1" x14ac:dyDescent="0.25"/>
    <row r="53" spans="4:4" s="17" customFormat="1" x14ac:dyDescent="0.25"/>
    <row r="54" spans="4:4" s="17" customFormat="1" x14ac:dyDescent="0.25"/>
    <row r="55" spans="4:4" s="17" customFormat="1" x14ac:dyDescent="0.25"/>
    <row r="56" spans="4:4" s="17" customFormat="1" x14ac:dyDescent="0.25"/>
    <row r="57" spans="4:4" s="17" customFormat="1" x14ac:dyDescent="0.25"/>
    <row r="58" spans="4:4" s="17" customFormat="1" x14ac:dyDescent="0.25"/>
    <row r="59" spans="4:4" s="17" customFormat="1" x14ac:dyDescent="0.25"/>
    <row r="60" spans="4:4" s="17" customFormat="1" x14ac:dyDescent="0.25"/>
    <row r="61" spans="4:4" s="17" customFormat="1" x14ac:dyDescent="0.25"/>
    <row r="62" spans="4:4" s="17" customFormat="1" x14ac:dyDescent="0.25">
      <c r="D62" s="19" t="s">
        <v>158</v>
      </c>
    </row>
    <row r="63" spans="4:4" s="17" customFormat="1" x14ac:dyDescent="0.25"/>
    <row r="64" spans="4:4" s="17" customFormat="1" x14ac:dyDescent="0.25"/>
    <row r="65" s="17" customFormat="1" x14ac:dyDescent="0.25"/>
    <row r="66" s="17" customFormat="1" x14ac:dyDescent="0.25"/>
    <row r="67" s="17" customFormat="1" x14ac:dyDescent="0.25"/>
    <row r="68" s="17" customFormat="1" x14ac:dyDescent="0.25"/>
    <row r="69" s="17" customFormat="1" x14ac:dyDescent="0.25"/>
    <row r="70" s="17" customFormat="1" x14ac:dyDescent="0.25"/>
    <row r="71" s="17" customFormat="1" x14ac:dyDescent="0.25"/>
    <row r="72" s="17" customFormat="1" x14ac:dyDescent="0.25"/>
    <row r="73" s="17" customFormat="1" x14ac:dyDescent="0.25"/>
    <row r="74" s="17" customFormat="1" x14ac:dyDescent="0.25"/>
    <row r="75" s="17" customFormat="1" x14ac:dyDescent="0.25"/>
    <row r="76" s="17" customFormat="1" x14ac:dyDescent="0.25"/>
    <row r="77" s="17" customFormat="1" x14ac:dyDescent="0.25"/>
    <row r="78" s="17" customFormat="1" x14ac:dyDescent="0.25"/>
    <row r="79" s="17" customFormat="1" x14ac:dyDescent="0.25"/>
    <row r="80" s="17" customFormat="1" x14ac:dyDescent="0.25"/>
    <row r="81" s="17" customFormat="1" x14ac:dyDescent="0.25"/>
    <row r="82" s="17" customFormat="1" x14ac:dyDescent="0.25"/>
    <row r="83" s="17" customFormat="1" x14ac:dyDescent="0.25"/>
    <row r="84" s="17" customFormat="1" x14ac:dyDescent="0.25"/>
    <row r="85" s="17" customFormat="1" x14ac:dyDescent="0.25"/>
    <row r="86" s="17" customFormat="1" x14ac:dyDescent="0.25"/>
    <row r="87" s="17" customFormat="1" x14ac:dyDescent="0.25"/>
    <row r="88" s="17" customFormat="1" x14ac:dyDescent="0.25"/>
    <row r="89" s="17" customFormat="1" x14ac:dyDescent="0.25"/>
    <row r="90" s="17" customFormat="1" x14ac:dyDescent="0.25"/>
    <row r="91" s="17" customFormat="1" x14ac:dyDescent="0.25"/>
    <row r="92" s="17" customFormat="1" x14ac:dyDescent="0.25"/>
    <row r="93" s="17" customFormat="1" x14ac:dyDescent="0.25"/>
    <row r="94" s="17" customFormat="1" x14ac:dyDescent="0.25"/>
    <row r="95" s="17" customFormat="1" x14ac:dyDescent="0.25"/>
    <row r="96" s="17" customFormat="1" x14ac:dyDescent="0.25"/>
    <row r="97" s="17" customFormat="1" x14ac:dyDescent="0.25"/>
    <row r="98" s="17" customFormat="1" x14ac:dyDescent="0.25"/>
    <row r="99" s="17" customFormat="1" x14ac:dyDescent="0.25"/>
    <row r="100" s="17" customFormat="1" x14ac:dyDescent="0.25"/>
    <row r="101" s="17" customFormat="1" x14ac:dyDescent="0.25"/>
    <row r="102" s="17" customFormat="1" x14ac:dyDescent="0.25"/>
    <row r="103" s="17" customFormat="1" x14ac:dyDescent="0.25"/>
    <row r="104" s="17" customFormat="1" x14ac:dyDescent="0.25"/>
    <row r="105" s="17" customFormat="1" x14ac:dyDescent="0.25"/>
    <row r="106" s="17" customFormat="1" x14ac:dyDescent="0.25"/>
    <row r="107" s="17" customFormat="1" x14ac:dyDescent="0.25"/>
    <row r="108" s="17" customFormat="1" x14ac:dyDescent="0.25"/>
    <row r="109" s="17" customFormat="1" x14ac:dyDescent="0.25"/>
    <row r="110" s="17" customFormat="1" x14ac:dyDescent="0.25"/>
    <row r="111" s="17" customFormat="1" x14ac:dyDescent="0.25"/>
    <row r="112" s="17" customFormat="1" x14ac:dyDescent="0.25"/>
    <row r="113" s="17" customFormat="1" x14ac:dyDescent="0.25"/>
    <row r="114" s="17" customFormat="1" x14ac:dyDescent="0.25"/>
    <row r="115" s="17" customFormat="1" x14ac:dyDescent="0.25"/>
    <row r="116" s="17" customFormat="1" x14ac:dyDescent="0.25"/>
    <row r="117" s="17" customFormat="1" x14ac:dyDescent="0.25"/>
    <row r="118" s="17" customFormat="1" x14ac:dyDescent="0.25"/>
    <row r="119" s="17" customFormat="1" x14ac:dyDescent="0.25"/>
    <row r="120" s="17" customFormat="1" x14ac:dyDescent="0.25"/>
    <row r="121" s="17" customFormat="1" x14ac:dyDescent="0.25"/>
    <row r="122" s="17" customFormat="1" x14ac:dyDescent="0.25"/>
    <row r="123" s="17" customFormat="1" x14ac:dyDescent="0.25"/>
    <row r="124" s="17" customFormat="1" x14ac:dyDescent="0.25"/>
    <row r="125" s="17" customFormat="1" x14ac:dyDescent="0.25"/>
    <row r="126" s="17" customFormat="1" x14ac:dyDescent="0.25"/>
    <row r="127" s="17" customFormat="1" x14ac:dyDescent="0.25"/>
    <row r="128" s="17" customFormat="1" x14ac:dyDescent="0.25"/>
    <row r="129" s="17" customFormat="1" x14ac:dyDescent="0.25"/>
    <row r="130" s="17" customFormat="1" x14ac:dyDescent="0.25"/>
    <row r="131" s="17" customFormat="1" x14ac:dyDescent="0.25"/>
    <row r="132" s="17" customFormat="1" x14ac:dyDescent="0.25"/>
    <row r="133" s="17" customFormat="1" x14ac:dyDescent="0.25"/>
    <row r="134" s="17" customFormat="1" x14ac:dyDescent="0.25"/>
    <row r="135" s="17" customFormat="1" x14ac:dyDescent="0.25"/>
    <row r="136" s="17" customFormat="1" x14ac:dyDescent="0.25"/>
    <row r="137" s="17" customFormat="1" x14ac:dyDescent="0.25"/>
    <row r="138" s="17" customFormat="1" x14ac:dyDescent="0.25"/>
    <row r="139" s="17" customFormat="1" x14ac:dyDescent="0.25"/>
    <row r="140" s="17" customFormat="1" x14ac:dyDescent="0.25"/>
    <row r="141" s="17" customFormat="1" x14ac:dyDescent="0.25"/>
    <row r="142" s="17" customFormat="1" x14ac:dyDescent="0.25"/>
    <row r="143" s="17" customFormat="1" x14ac:dyDescent="0.25"/>
    <row r="144" s="17" customFormat="1" x14ac:dyDescent="0.25"/>
    <row r="145" s="17" customFormat="1" x14ac:dyDescent="0.25"/>
    <row r="146" s="17"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C243E-E931-486C-9673-F1AFA97513E4}">
  <sheetPr>
    <tabColor theme="5"/>
  </sheetPr>
  <dimension ref="A1:F2"/>
  <sheetViews>
    <sheetView showGridLines="0" workbookViewId="0">
      <pane ySplit="1" topLeftCell="A2" activePane="bottomLeft" state="frozen"/>
      <selection pane="bottomLeft" activeCell="A2" sqref="A2"/>
    </sheetView>
  </sheetViews>
  <sheetFormatPr defaultRowHeight="15" x14ac:dyDescent="0.25"/>
  <cols>
    <col min="1" max="1" width="11.125" bestFit="1" customWidth="1"/>
    <col min="2" max="2" width="14.375" bestFit="1" customWidth="1"/>
    <col min="3" max="3" width="17.5" bestFit="1" customWidth="1"/>
    <col min="4" max="4" width="16.375" style="6" bestFit="1" customWidth="1"/>
    <col min="5" max="5" width="14.625" bestFit="1" customWidth="1"/>
    <col min="6" max="6" width="13.125" style="3" bestFit="1" customWidth="1"/>
  </cols>
  <sheetData>
    <row r="1" spans="1:6" x14ac:dyDescent="0.25">
      <c r="A1" s="9" t="s">
        <v>1</v>
      </c>
      <c r="B1" s="9" t="s">
        <v>27</v>
      </c>
      <c r="C1" s="9" t="s">
        <v>2</v>
      </c>
      <c r="D1" s="10" t="s">
        <v>28</v>
      </c>
      <c r="E1" s="9" t="s">
        <v>29</v>
      </c>
      <c r="F1" s="11" t="s">
        <v>15</v>
      </c>
    </row>
    <row r="2" spans="1:6" x14ac:dyDescent="0.25">
      <c r="B2">
        <v>1</v>
      </c>
    </row>
  </sheetData>
  <conditionalFormatting sqref="D1:D1048576">
    <cfRule type="dataBar" priority="1">
      <dataBar>
        <cfvo type="num" val="0"/>
        <cfvo type="num" val="1"/>
        <color theme="4"/>
      </dataBar>
      <extLst>
        <ext xmlns:x14="http://schemas.microsoft.com/office/spreadsheetml/2009/9/main" uri="{B025F937-C7B1-47D3-B67F-A62EFF666E3E}">
          <x14:id>{970E8A00-95A4-463C-90F7-D0D0D29163B3}</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970E8A00-95A4-463C-90F7-D0D0D29163B3}">
            <x14:dataBar minLength="0" maxLength="100" border="1" negativeBarBorderColorSameAsPositive="0">
              <x14:cfvo type="num">
                <xm:f>0</xm:f>
              </x14:cfvo>
              <x14:cfvo type="num">
                <xm:f>1</xm:f>
              </x14:cfvo>
              <x14:borderColor theme="4"/>
              <x14:negativeFillColor rgb="FFFF0000"/>
              <x14:negativeBorderColor rgb="FFFF0000"/>
              <x14:axisColor rgb="FF000000"/>
            </x14:dataBar>
          </x14:cfRule>
          <xm:sqref>D1:D1048576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71F9A-6DA5-4387-B76A-183E66AC56D8}">
  <sheetPr>
    <tabColor theme="5"/>
  </sheetPr>
  <dimension ref="A1:O2"/>
  <sheetViews>
    <sheetView showGridLines="0" workbookViewId="0">
      <pane ySplit="1" topLeftCell="A2" activePane="bottomLeft" state="frozen"/>
      <selection pane="bottomLeft" activeCell="A2" sqref="A2"/>
    </sheetView>
  </sheetViews>
  <sheetFormatPr defaultRowHeight="15" x14ac:dyDescent="0.25"/>
  <cols>
    <col min="1" max="1" width="12.375" bestFit="1" customWidth="1"/>
    <col min="2" max="2" width="11.125" bestFit="1" customWidth="1"/>
    <col min="3" max="3" width="7.375" bestFit="1" customWidth="1"/>
    <col min="4" max="4" width="11.125" bestFit="1" customWidth="1"/>
    <col min="5" max="5" width="8.75" bestFit="1" customWidth="1"/>
    <col min="6" max="6" width="15.75" bestFit="1" customWidth="1"/>
    <col min="7" max="7" width="9.875" style="5" bestFit="1" customWidth="1"/>
    <col min="8" max="8" width="17.375" style="3" bestFit="1" customWidth="1"/>
    <col min="9" max="9" width="15.25" style="3" bestFit="1" customWidth="1"/>
    <col min="10" max="10" width="13.125" style="3" bestFit="1" customWidth="1"/>
    <col min="11" max="11" width="13.375" style="3" bestFit="1" customWidth="1"/>
    <col min="12" max="12" width="14" style="4" bestFit="1" customWidth="1"/>
    <col min="13" max="13" width="16.75" bestFit="1" customWidth="1"/>
    <col min="14" max="14" width="15" bestFit="1" customWidth="1"/>
    <col min="15" max="15" width="22" bestFit="1" customWidth="1"/>
  </cols>
  <sheetData>
    <row r="1" spans="1:15" x14ac:dyDescent="0.25">
      <c r="A1" s="9" t="s">
        <v>6</v>
      </c>
      <c r="B1" s="9" t="s">
        <v>1</v>
      </c>
      <c r="C1" s="9" t="s">
        <v>7</v>
      </c>
      <c r="D1" s="9" t="s">
        <v>9</v>
      </c>
      <c r="E1" s="9" t="s">
        <v>10</v>
      </c>
      <c r="F1" s="9" t="s">
        <v>11</v>
      </c>
      <c r="G1" s="12" t="s">
        <v>12</v>
      </c>
      <c r="H1" s="11" t="s">
        <v>13</v>
      </c>
      <c r="I1" s="11" t="s">
        <v>14</v>
      </c>
      <c r="J1" s="11" t="s">
        <v>15</v>
      </c>
      <c r="K1" s="11" t="s">
        <v>16</v>
      </c>
      <c r="L1" s="13" t="s">
        <v>17</v>
      </c>
      <c r="M1" s="9" t="s">
        <v>18</v>
      </c>
      <c r="N1" t="s">
        <v>160</v>
      </c>
      <c r="O1" t="s">
        <v>161</v>
      </c>
    </row>
    <row r="2" spans="1:15" x14ac:dyDescent="0.25">
      <c r="E2" t="s">
        <v>38</v>
      </c>
      <c r="O2" s="35"/>
    </row>
  </sheetData>
  <phoneticPr fontId="8" type="noConversion"/>
  <conditionalFormatting sqref="K1:K1048576">
    <cfRule type="colorScale" priority="3">
      <colorScale>
        <cfvo type="min"/>
        <cfvo type="percentile" val="50"/>
        <cfvo type="max"/>
        <color rgb="FFF8696B"/>
        <color rgb="FFFCFCFF"/>
        <color rgb="FF63BE7B"/>
      </colorScale>
    </cfRule>
  </conditionalFormatting>
  <conditionalFormatting sqref="L1:L1048576">
    <cfRule type="colorScale" priority="2">
      <colorScale>
        <cfvo type="min"/>
        <cfvo type="percentile" val="50"/>
        <cfvo type="max"/>
        <color rgb="FFF8696B"/>
        <color rgb="FFFCFCFF"/>
        <color rgb="FF63BE7B"/>
      </colorScale>
    </cfRule>
  </conditionalFormatting>
  <conditionalFormatting sqref="M3:O1048576 M1:M2">
    <cfRule type="containsText" dxfId="3" priority="1" operator="containsText" text="TRUE">
      <formula>NOT(ISERROR(SEARCH("TRUE",M1)))</formula>
    </cfRule>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99B1B-126A-479C-9E39-07BE4D7F5F9E}">
  <sheetPr>
    <tabColor theme="5"/>
  </sheetPr>
  <dimension ref="A1:M12"/>
  <sheetViews>
    <sheetView showGridLines="0" workbookViewId="0"/>
  </sheetViews>
  <sheetFormatPr defaultRowHeight="15" x14ac:dyDescent="0.25"/>
  <cols>
    <col min="1" max="1" width="12.625" style="20" bestFit="1" customWidth="1"/>
    <col min="2" max="2" width="19.25" style="20" bestFit="1" customWidth="1"/>
    <col min="3" max="3" width="10.5" style="20" bestFit="1" customWidth="1"/>
    <col min="4" max="4" width="12.375" style="20" bestFit="1" customWidth="1"/>
    <col min="5" max="5" width="11.125" style="20" bestFit="1" customWidth="1"/>
    <col min="6" max="6" width="7.375" style="20" bestFit="1" customWidth="1"/>
    <col min="7" max="7" width="18.5" style="20" bestFit="1" customWidth="1"/>
    <col min="8" max="8" width="17.125" style="20" bestFit="1" customWidth="1"/>
    <col min="9" max="9" width="9.875" style="20" bestFit="1" customWidth="1"/>
    <col min="10" max="10" width="14.5" style="20" bestFit="1" customWidth="1"/>
    <col min="11" max="11" width="13.125" style="20" bestFit="1" customWidth="1"/>
    <col min="12" max="12" width="14.625" style="20" bestFit="1" customWidth="1"/>
    <col min="13" max="13" width="14.125" style="20" bestFit="1" customWidth="1"/>
    <col min="14" max="16384" width="9" style="20"/>
  </cols>
  <sheetData>
    <row r="1" spans="1:13" s="28" customFormat="1" x14ac:dyDescent="0.25"/>
    <row r="2" spans="1:13" s="28" customFormat="1" x14ac:dyDescent="0.25"/>
    <row r="3" spans="1:13" s="28" customFormat="1" x14ac:dyDescent="0.25"/>
    <row r="4" spans="1:13" s="28" customFormat="1" x14ac:dyDescent="0.25"/>
    <row r="5" spans="1:13" ht="18.75" customHeight="1" x14ac:dyDescent="0.25">
      <c r="B5" s="24" t="s">
        <v>150</v>
      </c>
    </row>
    <row r="6" spans="1:13" ht="40.5" customHeight="1" x14ac:dyDescent="0.25">
      <c r="A6" s="22" t="s">
        <v>152</v>
      </c>
      <c r="B6" s="29" t="s">
        <v>19</v>
      </c>
      <c r="D6" s="22" t="s">
        <v>154</v>
      </c>
      <c r="E6" s="23">
        <f>SUM(tUpgradeCost[upgrade_cost])</f>
        <v>0</v>
      </c>
      <c r="G6" s="32" t="s">
        <v>149</v>
      </c>
      <c r="H6" s="33"/>
      <c r="I6" s="33"/>
      <c r="J6" s="33"/>
      <c r="K6" s="33"/>
      <c r="L6" s="33"/>
      <c r="M6" s="33"/>
    </row>
    <row r="7" spans="1:13" ht="46.5" customHeight="1" x14ac:dyDescent="0.25">
      <c r="A7" s="22" t="s">
        <v>153</v>
      </c>
      <c r="B7" s="29" t="s">
        <v>141</v>
      </c>
      <c r="G7" s="33"/>
      <c r="H7" s="33"/>
      <c r="I7" s="33"/>
      <c r="J7" s="33"/>
      <c r="K7" s="33"/>
      <c r="L7" s="33"/>
      <c r="M7" s="33"/>
    </row>
    <row r="8" spans="1:13" ht="32.25" customHeight="1" x14ac:dyDescent="0.25">
      <c r="A8" s="34" t="s">
        <v>151</v>
      </c>
      <c r="B8" s="34"/>
      <c r="G8" s="21"/>
      <c r="H8" s="21"/>
      <c r="I8" s="21"/>
      <c r="J8" s="21"/>
      <c r="K8" s="21"/>
      <c r="L8" s="21"/>
      <c r="M8" s="21"/>
    </row>
    <row r="10" spans="1:13" x14ac:dyDescent="0.25">
      <c r="A10" s="25" t="s">
        <v>30</v>
      </c>
      <c r="B10" s="9" t="s">
        <v>148</v>
      </c>
      <c r="D10" s="9" t="s">
        <v>6</v>
      </c>
      <c r="E10" s="9" t="s">
        <v>1</v>
      </c>
      <c r="F10" s="9" t="s">
        <v>7</v>
      </c>
      <c r="G10" s="9" t="s">
        <v>142</v>
      </c>
      <c r="H10" s="9" t="s">
        <v>143</v>
      </c>
      <c r="I10" s="9" t="s">
        <v>12</v>
      </c>
      <c r="J10" s="9" t="s">
        <v>144</v>
      </c>
      <c r="K10" s="9" t="s">
        <v>145</v>
      </c>
      <c r="L10" s="9" t="s">
        <v>146</v>
      </c>
      <c r="M10" s="9" t="s">
        <v>147</v>
      </c>
    </row>
    <row r="11" spans="1:13" x14ac:dyDescent="0.25">
      <c r="A11" s="8" t="s">
        <v>159</v>
      </c>
      <c r="B11" s="14"/>
      <c r="D11"/>
      <c r="E11"/>
      <c r="F11"/>
      <c r="G11"/>
      <c r="H11"/>
      <c r="I11"/>
      <c r="J11" s="3"/>
      <c r="K11" s="3"/>
      <c r="L11" s="3"/>
      <c r="M11"/>
    </row>
    <row r="12" spans="1:13" x14ac:dyDescent="0.25">
      <c r="A12" s="26" t="s">
        <v>31</v>
      </c>
      <c r="B12" s="27"/>
    </row>
  </sheetData>
  <mergeCells count="2">
    <mergeCell ref="G6:M7"/>
    <mergeCell ref="A8:B8"/>
  </mergeCells>
  <conditionalFormatting sqref="M1:M1048576">
    <cfRule type="cellIs" dxfId="2" priority="1" operator="equal">
      <formula>"Inferred"</formula>
    </cfRule>
  </conditionalFormatting>
  <dataValidations count="2">
    <dataValidation type="list" allowBlank="1" showInputMessage="1" showErrorMessage="1" sqref="B6" xr:uid="{918251C0-AA17-48B3-BA2F-A27EFD4608F2}">
      <formula1>"NM,LP,MP,HP"</formula1>
    </dataValidation>
    <dataValidation type="list" allowBlank="1" showInputMessage="1" showErrorMessage="1" sqref="B7" xr:uid="{35435C00-9829-4C78-BE7E-F50E8ACF4FFF}">
      <formula1>"Sell at Market,Full Replacement Cost"</formula1>
    </dataValidation>
  </dataValidations>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499984740745262"/>
  </sheetPr>
  <dimension ref="A1:U1"/>
  <sheetViews>
    <sheetView workbookViewId="0">
      <pane ySplit="1" topLeftCell="A2" activePane="bottomLeft" state="frozen"/>
      <selection pane="bottomLeft" activeCell="A2" sqref="A2"/>
    </sheetView>
  </sheetViews>
  <sheetFormatPr defaultColWidth="8.75" defaultRowHeight="15" x14ac:dyDescent="0.25"/>
  <cols>
    <col min="1" max="19" width="17.875" customWidth="1"/>
    <col min="20" max="20" width="13.5" bestFit="1" customWidth="1"/>
    <col min="21" max="21" width="19.875" bestFit="1"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160</v>
      </c>
      <c r="U1" s="1" t="s">
        <v>161</v>
      </c>
    </row>
  </sheetData>
  <conditionalFormatting sqref="T1:T1048576">
    <cfRule type="containsText" dxfId="1" priority="2" operator="containsText" text="TRUE">
      <formula>NOT(ISERROR(SEARCH("TRUE",T1)))</formula>
    </cfRule>
  </conditionalFormatting>
  <conditionalFormatting sqref="S1:S1048576">
    <cfRule type="containsText" dxfId="0" priority="1" operator="containsText" text="TRUE">
      <formula>NOT(ISERROR(SEARCH("TRUE",S1)))</formula>
    </cfRule>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499984740745262"/>
  </sheetPr>
  <dimension ref="A1:H1"/>
  <sheetViews>
    <sheetView workbookViewId="0">
      <pane ySplit="1" topLeftCell="A2" activePane="bottomLeft" state="frozen"/>
      <selection pane="bottomLeft" activeCell="A2" sqref="A2"/>
    </sheetView>
  </sheetViews>
  <sheetFormatPr defaultColWidth="8.75" defaultRowHeight="15" x14ac:dyDescent="0.25"/>
  <cols>
    <col min="1" max="8" width="17.875" customWidth="1"/>
  </cols>
  <sheetData>
    <row r="1" spans="1:8" x14ac:dyDescent="0.25">
      <c r="A1" s="1" t="s">
        <v>0</v>
      </c>
      <c r="B1" s="1" t="s">
        <v>1</v>
      </c>
      <c r="C1" s="1" t="s">
        <v>20</v>
      </c>
      <c r="D1" s="1" t="s">
        <v>21</v>
      </c>
      <c r="E1" s="1" t="s">
        <v>22</v>
      </c>
      <c r="F1" s="1" t="s">
        <v>23</v>
      </c>
      <c r="G1" s="1" t="s">
        <v>24</v>
      </c>
      <c r="H1" s="1" t="s">
        <v>25</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499984740745262"/>
  </sheetPr>
  <dimension ref="A1:F254"/>
  <sheetViews>
    <sheetView workbookViewId="0">
      <pane ySplit="1" topLeftCell="A2" activePane="bottomLeft" state="frozen"/>
      <selection pane="bottomLeft" activeCell="A2" sqref="A2"/>
    </sheetView>
  </sheetViews>
  <sheetFormatPr defaultColWidth="8.75" defaultRowHeight="15" x14ac:dyDescent="0.25"/>
  <cols>
    <col min="1" max="6" width="17.875" customWidth="1"/>
  </cols>
  <sheetData>
    <row r="1" spans="1:6" x14ac:dyDescent="0.25">
      <c r="A1" s="1" t="s">
        <v>4</v>
      </c>
      <c r="B1" s="1" t="s">
        <v>6</v>
      </c>
      <c r="C1" s="1" t="s">
        <v>1</v>
      </c>
      <c r="D1" s="1" t="s">
        <v>9</v>
      </c>
      <c r="E1" s="1" t="s">
        <v>26</v>
      </c>
      <c r="F1" s="1" t="s">
        <v>14</v>
      </c>
    </row>
    <row r="2" spans="1:6" x14ac:dyDescent="0.25">
      <c r="E2" s="2"/>
    </row>
    <row r="3" spans="1:6" x14ac:dyDescent="0.25">
      <c r="E3" s="2"/>
    </row>
    <row r="4" spans="1:6" x14ac:dyDescent="0.25">
      <c r="E4" s="2"/>
    </row>
    <row r="5" spans="1:6" x14ac:dyDescent="0.25">
      <c r="E5" s="2"/>
    </row>
    <row r="6" spans="1:6" x14ac:dyDescent="0.25">
      <c r="E6" s="2"/>
    </row>
    <row r="7" spans="1:6" x14ac:dyDescent="0.25">
      <c r="E7" s="2"/>
    </row>
    <row r="8" spans="1:6" x14ac:dyDescent="0.25">
      <c r="E8" s="2"/>
    </row>
    <row r="9" spans="1:6" x14ac:dyDescent="0.25">
      <c r="E9" s="2"/>
    </row>
    <row r="10" spans="1:6" x14ac:dyDescent="0.25">
      <c r="E10" s="2"/>
    </row>
    <row r="11" spans="1:6" x14ac:dyDescent="0.25">
      <c r="E11" s="2"/>
    </row>
    <row r="12" spans="1:6" x14ac:dyDescent="0.25">
      <c r="E12" s="2"/>
    </row>
    <row r="13" spans="1:6" x14ac:dyDescent="0.25">
      <c r="E13" s="2"/>
    </row>
    <row r="14" spans="1:6" x14ac:dyDescent="0.25">
      <c r="E14" s="2"/>
    </row>
    <row r="15" spans="1:6" x14ac:dyDescent="0.25">
      <c r="E15" s="2"/>
    </row>
    <row r="16" spans="1:6" x14ac:dyDescent="0.25">
      <c r="E16" s="2"/>
    </row>
    <row r="17" spans="5:5" x14ac:dyDescent="0.25">
      <c r="E17" s="2"/>
    </row>
    <row r="18" spans="5:5" x14ac:dyDescent="0.25">
      <c r="E18" s="2"/>
    </row>
    <row r="19" spans="5:5" x14ac:dyDescent="0.25">
      <c r="E19" s="2"/>
    </row>
    <row r="20" spans="5:5" x14ac:dyDescent="0.25">
      <c r="E20" s="2"/>
    </row>
    <row r="21" spans="5:5" x14ac:dyDescent="0.25">
      <c r="E21" s="2"/>
    </row>
    <row r="22" spans="5:5" x14ac:dyDescent="0.25">
      <c r="E22" s="2"/>
    </row>
    <row r="23" spans="5:5" x14ac:dyDescent="0.25">
      <c r="E23" s="2"/>
    </row>
    <row r="24" spans="5:5" x14ac:dyDescent="0.25">
      <c r="E24" s="2"/>
    </row>
    <row r="25" spans="5:5" x14ac:dyDescent="0.25">
      <c r="E25" s="2"/>
    </row>
    <row r="26" spans="5:5" x14ac:dyDescent="0.25">
      <c r="E26" s="2"/>
    </row>
    <row r="27" spans="5:5" x14ac:dyDescent="0.25">
      <c r="E27" s="2"/>
    </row>
    <row r="28" spans="5:5" x14ac:dyDescent="0.25">
      <c r="E28" s="2"/>
    </row>
    <row r="29" spans="5:5" x14ac:dyDescent="0.25">
      <c r="E29" s="2"/>
    </row>
    <row r="30" spans="5:5" x14ac:dyDescent="0.25">
      <c r="E30" s="2"/>
    </row>
    <row r="31" spans="5:5" x14ac:dyDescent="0.25">
      <c r="E31" s="2"/>
    </row>
    <row r="32" spans="5:5" x14ac:dyDescent="0.25">
      <c r="E32" s="2"/>
    </row>
    <row r="33" spans="5:5" x14ac:dyDescent="0.25">
      <c r="E33" s="2"/>
    </row>
    <row r="34" spans="5:5" x14ac:dyDescent="0.25">
      <c r="E34" s="2"/>
    </row>
    <row r="35" spans="5:5" x14ac:dyDescent="0.25">
      <c r="E35" s="2"/>
    </row>
    <row r="36" spans="5:5" x14ac:dyDescent="0.25">
      <c r="E36" s="2"/>
    </row>
    <row r="37" spans="5:5" x14ac:dyDescent="0.25">
      <c r="E37" s="2"/>
    </row>
    <row r="38" spans="5:5" x14ac:dyDescent="0.25">
      <c r="E38" s="2"/>
    </row>
    <row r="39" spans="5:5" x14ac:dyDescent="0.25">
      <c r="E39" s="2"/>
    </row>
    <row r="40" spans="5:5" x14ac:dyDescent="0.25">
      <c r="E40" s="2"/>
    </row>
    <row r="41" spans="5:5" x14ac:dyDescent="0.25">
      <c r="E41" s="2"/>
    </row>
    <row r="42" spans="5:5" x14ac:dyDescent="0.25">
      <c r="E42" s="2"/>
    </row>
    <row r="43" spans="5:5" x14ac:dyDescent="0.25">
      <c r="E43" s="2"/>
    </row>
    <row r="44" spans="5:5" x14ac:dyDescent="0.25">
      <c r="E44" s="2"/>
    </row>
    <row r="45" spans="5:5" x14ac:dyDescent="0.25">
      <c r="E45" s="2"/>
    </row>
    <row r="46" spans="5:5" x14ac:dyDescent="0.25">
      <c r="E46" s="2"/>
    </row>
    <row r="47" spans="5:5" x14ac:dyDescent="0.25">
      <c r="E47" s="2"/>
    </row>
    <row r="48" spans="5:5" x14ac:dyDescent="0.25">
      <c r="E48" s="2"/>
    </row>
    <row r="49" spans="5:5" x14ac:dyDescent="0.25">
      <c r="E49" s="2"/>
    </row>
    <row r="50" spans="5:5" x14ac:dyDescent="0.25">
      <c r="E50" s="2"/>
    </row>
    <row r="51" spans="5:5" x14ac:dyDescent="0.25">
      <c r="E51" s="2"/>
    </row>
    <row r="52" spans="5:5" x14ac:dyDescent="0.25">
      <c r="E52" s="2"/>
    </row>
    <row r="53" spans="5:5" x14ac:dyDescent="0.25">
      <c r="E53" s="2"/>
    </row>
    <row r="54" spans="5:5" x14ac:dyDescent="0.25">
      <c r="E54" s="2"/>
    </row>
    <row r="55" spans="5:5" x14ac:dyDescent="0.25">
      <c r="E55" s="2"/>
    </row>
    <row r="56" spans="5:5" x14ac:dyDescent="0.25">
      <c r="E56" s="2"/>
    </row>
    <row r="57" spans="5:5" x14ac:dyDescent="0.25">
      <c r="E57" s="2"/>
    </row>
    <row r="58" spans="5:5" x14ac:dyDescent="0.25">
      <c r="E58" s="2"/>
    </row>
    <row r="59" spans="5:5" x14ac:dyDescent="0.25">
      <c r="E59" s="2"/>
    </row>
    <row r="60" spans="5:5" x14ac:dyDescent="0.25">
      <c r="E60" s="2"/>
    </row>
    <row r="61" spans="5:5" x14ac:dyDescent="0.25">
      <c r="E61" s="2"/>
    </row>
    <row r="62" spans="5:5" x14ac:dyDescent="0.25">
      <c r="E62" s="2"/>
    </row>
    <row r="63" spans="5:5" x14ac:dyDescent="0.25">
      <c r="E63" s="2"/>
    </row>
    <row r="64" spans="5:5" x14ac:dyDescent="0.25">
      <c r="E64" s="2"/>
    </row>
    <row r="65" spans="5:5" x14ac:dyDescent="0.25">
      <c r="E65" s="2"/>
    </row>
    <row r="66" spans="5:5" x14ac:dyDescent="0.25">
      <c r="E66" s="2"/>
    </row>
    <row r="67" spans="5:5" x14ac:dyDescent="0.25">
      <c r="E67" s="2"/>
    </row>
    <row r="68" spans="5:5" x14ac:dyDescent="0.25">
      <c r="E68" s="2"/>
    </row>
    <row r="69" spans="5:5" x14ac:dyDescent="0.25">
      <c r="E69" s="2"/>
    </row>
    <row r="70" spans="5:5" x14ac:dyDescent="0.25">
      <c r="E70" s="2"/>
    </row>
    <row r="71" spans="5:5" x14ac:dyDescent="0.25">
      <c r="E71" s="2"/>
    </row>
    <row r="72" spans="5:5" x14ac:dyDescent="0.25">
      <c r="E72" s="2"/>
    </row>
    <row r="73" spans="5:5" x14ac:dyDescent="0.25">
      <c r="E73" s="2"/>
    </row>
    <row r="74" spans="5:5" x14ac:dyDescent="0.25">
      <c r="E74" s="2"/>
    </row>
    <row r="75" spans="5:5" x14ac:dyDescent="0.25">
      <c r="E75" s="2"/>
    </row>
    <row r="76" spans="5:5" x14ac:dyDescent="0.25">
      <c r="E76" s="2"/>
    </row>
    <row r="77" spans="5:5" x14ac:dyDescent="0.25">
      <c r="E77" s="2"/>
    </row>
    <row r="78" spans="5:5" x14ac:dyDescent="0.25">
      <c r="E78" s="2"/>
    </row>
    <row r="79" spans="5:5" x14ac:dyDescent="0.25">
      <c r="E79" s="2"/>
    </row>
    <row r="80" spans="5:5" x14ac:dyDescent="0.25">
      <c r="E80" s="2"/>
    </row>
    <row r="81" spans="5:5" x14ac:dyDescent="0.25">
      <c r="E81" s="2"/>
    </row>
    <row r="82" spans="5:5" x14ac:dyDescent="0.25">
      <c r="E82" s="2"/>
    </row>
    <row r="83" spans="5:5" x14ac:dyDescent="0.25">
      <c r="E83" s="2"/>
    </row>
    <row r="84" spans="5:5" x14ac:dyDescent="0.25">
      <c r="E84" s="2"/>
    </row>
    <row r="85" spans="5:5" x14ac:dyDescent="0.25">
      <c r="E85" s="2"/>
    </row>
    <row r="86" spans="5:5" x14ac:dyDescent="0.25">
      <c r="E86" s="2"/>
    </row>
    <row r="87" spans="5:5" x14ac:dyDescent="0.25">
      <c r="E87" s="2"/>
    </row>
    <row r="88" spans="5:5" x14ac:dyDescent="0.25">
      <c r="E88" s="2"/>
    </row>
    <row r="89" spans="5:5" x14ac:dyDescent="0.25">
      <c r="E89" s="2"/>
    </row>
    <row r="90" spans="5:5" x14ac:dyDescent="0.25">
      <c r="E90" s="2"/>
    </row>
    <row r="91" spans="5:5" x14ac:dyDescent="0.25">
      <c r="E91" s="2"/>
    </row>
    <row r="92" spans="5:5" x14ac:dyDescent="0.25">
      <c r="E92" s="2"/>
    </row>
    <row r="93" spans="5:5" x14ac:dyDescent="0.25">
      <c r="E93" s="2"/>
    </row>
    <row r="94" spans="5:5" x14ac:dyDescent="0.25">
      <c r="E94" s="2"/>
    </row>
    <row r="95" spans="5:5" x14ac:dyDescent="0.25">
      <c r="E95" s="2"/>
    </row>
    <row r="96" spans="5:5" x14ac:dyDescent="0.25">
      <c r="E96" s="2"/>
    </row>
    <row r="97" spans="5:5" x14ac:dyDescent="0.25">
      <c r="E97" s="2"/>
    </row>
    <row r="98" spans="5:5" x14ac:dyDescent="0.25">
      <c r="E98" s="2"/>
    </row>
    <row r="99" spans="5:5" x14ac:dyDescent="0.25">
      <c r="E99" s="2"/>
    </row>
    <row r="100" spans="5:5" x14ac:dyDescent="0.25">
      <c r="E100" s="2"/>
    </row>
    <row r="101" spans="5:5" x14ac:dyDescent="0.25">
      <c r="E101" s="2"/>
    </row>
    <row r="102" spans="5:5" x14ac:dyDescent="0.25">
      <c r="E102" s="2"/>
    </row>
    <row r="103" spans="5:5" x14ac:dyDescent="0.25">
      <c r="E103" s="2"/>
    </row>
    <row r="104" spans="5:5" x14ac:dyDescent="0.25">
      <c r="E104" s="2"/>
    </row>
    <row r="105" spans="5:5" x14ac:dyDescent="0.25">
      <c r="E105" s="2"/>
    </row>
    <row r="106" spans="5:5" x14ac:dyDescent="0.25">
      <c r="E106" s="2"/>
    </row>
    <row r="107" spans="5:5" x14ac:dyDescent="0.25">
      <c r="E107" s="2"/>
    </row>
    <row r="108" spans="5:5" x14ac:dyDescent="0.25">
      <c r="E108" s="2"/>
    </row>
    <row r="109" spans="5:5" x14ac:dyDescent="0.25">
      <c r="E109" s="2"/>
    </row>
    <row r="110" spans="5:5" x14ac:dyDescent="0.25">
      <c r="E110" s="2"/>
    </row>
    <row r="111" spans="5:5" x14ac:dyDescent="0.25">
      <c r="E111" s="2"/>
    </row>
    <row r="112" spans="5:5" x14ac:dyDescent="0.25">
      <c r="E112" s="2"/>
    </row>
    <row r="113" spans="5:5" x14ac:dyDescent="0.25">
      <c r="E113" s="2"/>
    </row>
    <row r="114" spans="5:5" x14ac:dyDescent="0.25">
      <c r="E114" s="2"/>
    </row>
    <row r="115" spans="5:5" x14ac:dyDescent="0.25">
      <c r="E115" s="2"/>
    </row>
    <row r="116" spans="5:5" x14ac:dyDescent="0.25">
      <c r="E116" s="2"/>
    </row>
    <row r="117" spans="5:5" x14ac:dyDescent="0.25">
      <c r="E117" s="2"/>
    </row>
    <row r="118" spans="5:5" x14ac:dyDescent="0.25">
      <c r="E118" s="2"/>
    </row>
    <row r="119" spans="5:5" x14ac:dyDescent="0.25">
      <c r="E119" s="2"/>
    </row>
    <row r="120" spans="5:5" x14ac:dyDescent="0.25">
      <c r="E120" s="2"/>
    </row>
    <row r="121" spans="5:5" x14ac:dyDescent="0.25">
      <c r="E121" s="2"/>
    </row>
    <row r="122" spans="5:5" x14ac:dyDescent="0.25">
      <c r="E122" s="2"/>
    </row>
    <row r="123" spans="5:5" x14ac:dyDescent="0.25">
      <c r="E123" s="2"/>
    </row>
    <row r="124" spans="5:5" x14ac:dyDescent="0.25">
      <c r="E124" s="2"/>
    </row>
    <row r="125" spans="5:5" x14ac:dyDescent="0.25">
      <c r="E125" s="2"/>
    </row>
    <row r="126" spans="5:5" x14ac:dyDescent="0.25">
      <c r="E126" s="2"/>
    </row>
    <row r="127" spans="5:5" x14ac:dyDescent="0.25">
      <c r="E127" s="2"/>
    </row>
    <row r="128" spans="5:5" x14ac:dyDescent="0.25">
      <c r="E128" s="2"/>
    </row>
    <row r="129" spans="5:5" x14ac:dyDescent="0.25">
      <c r="E129" s="2"/>
    </row>
    <row r="130" spans="5:5" x14ac:dyDescent="0.25">
      <c r="E130" s="2"/>
    </row>
    <row r="131" spans="5:5" x14ac:dyDescent="0.25">
      <c r="E131" s="2"/>
    </row>
    <row r="132" spans="5:5" x14ac:dyDescent="0.25">
      <c r="E132" s="2"/>
    </row>
    <row r="133" spans="5:5" x14ac:dyDescent="0.25">
      <c r="E133" s="2"/>
    </row>
    <row r="134" spans="5:5" x14ac:dyDescent="0.25">
      <c r="E134" s="2"/>
    </row>
    <row r="135" spans="5:5" x14ac:dyDescent="0.25">
      <c r="E135" s="2"/>
    </row>
    <row r="136" spans="5:5" x14ac:dyDescent="0.25">
      <c r="E136" s="2"/>
    </row>
    <row r="137" spans="5:5" x14ac:dyDescent="0.25">
      <c r="E137" s="2"/>
    </row>
    <row r="138" spans="5:5" x14ac:dyDescent="0.25">
      <c r="E138" s="2"/>
    </row>
    <row r="139" spans="5:5" x14ac:dyDescent="0.25">
      <c r="E139" s="2"/>
    </row>
    <row r="140" spans="5:5" x14ac:dyDescent="0.25">
      <c r="E140" s="2"/>
    </row>
    <row r="141" spans="5:5" x14ac:dyDescent="0.25">
      <c r="E141" s="2"/>
    </row>
    <row r="142" spans="5:5" x14ac:dyDescent="0.25">
      <c r="E142" s="2"/>
    </row>
    <row r="143" spans="5:5" x14ac:dyDescent="0.25">
      <c r="E143" s="2"/>
    </row>
    <row r="144" spans="5:5" x14ac:dyDescent="0.25">
      <c r="E144" s="2"/>
    </row>
    <row r="145" spans="5:5" x14ac:dyDescent="0.25">
      <c r="E145" s="2"/>
    </row>
    <row r="146" spans="5:5" x14ac:dyDescent="0.25">
      <c r="E146" s="2"/>
    </row>
    <row r="147" spans="5:5" x14ac:dyDescent="0.25">
      <c r="E147" s="2"/>
    </row>
    <row r="148" spans="5:5" x14ac:dyDescent="0.25">
      <c r="E148" s="2"/>
    </row>
    <row r="149" spans="5:5" x14ac:dyDescent="0.25">
      <c r="E149" s="2"/>
    </row>
    <row r="150" spans="5:5" x14ac:dyDescent="0.25">
      <c r="E150" s="2"/>
    </row>
    <row r="151" spans="5:5" x14ac:dyDescent="0.25">
      <c r="E151" s="2"/>
    </row>
    <row r="152" spans="5:5" x14ac:dyDescent="0.25">
      <c r="E152" s="2"/>
    </row>
    <row r="153" spans="5:5" x14ac:dyDescent="0.25">
      <c r="E153" s="2"/>
    </row>
    <row r="154" spans="5:5" x14ac:dyDescent="0.25">
      <c r="E154" s="2"/>
    </row>
    <row r="155" spans="5:5" x14ac:dyDescent="0.25">
      <c r="E155" s="2"/>
    </row>
    <row r="156" spans="5:5" x14ac:dyDescent="0.25">
      <c r="E156" s="2"/>
    </row>
    <row r="157" spans="5:5" x14ac:dyDescent="0.25">
      <c r="E157" s="2"/>
    </row>
    <row r="158" spans="5:5" x14ac:dyDescent="0.25">
      <c r="E158" s="2"/>
    </row>
    <row r="159" spans="5:5" x14ac:dyDescent="0.25">
      <c r="E159" s="2"/>
    </row>
    <row r="160" spans="5:5" x14ac:dyDescent="0.25">
      <c r="E160" s="2"/>
    </row>
    <row r="161" spans="5:5" x14ac:dyDescent="0.25">
      <c r="E161" s="2"/>
    </row>
    <row r="162" spans="5:5" x14ac:dyDescent="0.25">
      <c r="E162" s="2"/>
    </row>
    <row r="163" spans="5:5" x14ac:dyDescent="0.25">
      <c r="E163" s="2"/>
    </row>
    <row r="164" spans="5:5" x14ac:dyDescent="0.25">
      <c r="E164" s="2"/>
    </row>
    <row r="165" spans="5:5" x14ac:dyDescent="0.25">
      <c r="E165" s="2"/>
    </row>
    <row r="166" spans="5:5" x14ac:dyDescent="0.25">
      <c r="E166" s="2"/>
    </row>
    <row r="167" spans="5:5" x14ac:dyDescent="0.25">
      <c r="E167" s="2"/>
    </row>
    <row r="168" spans="5:5" x14ac:dyDescent="0.25">
      <c r="E168" s="2"/>
    </row>
    <row r="169" spans="5:5" x14ac:dyDescent="0.25">
      <c r="E169" s="2"/>
    </row>
    <row r="170" spans="5:5" x14ac:dyDescent="0.25">
      <c r="E170" s="2"/>
    </row>
    <row r="171" spans="5:5" x14ac:dyDescent="0.25">
      <c r="E171" s="2"/>
    </row>
    <row r="172" spans="5:5" x14ac:dyDescent="0.25">
      <c r="E172" s="2"/>
    </row>
    <row r="173" spans="5:5" x14ac:dyDescent="0.25">
      <c r="E173" s="2"/>
    </row>
    <row r="174" spans="5:5" x14ac:dyDescent="0.25">
      <c r="E174" s="2"/>
    </row>
    <row r="175" spans="5:5" x14ac:dyDescent="0.25">
      <c r="E175" s="2"/>
    </row>
    <row r="176" spans="5:5" x14ac:dyDescent="0.25">
      <c r="E176" s="2"/>
    </row>
    <row r="177" spans="5:5" x14ac:dyDescent="0.25">
      <c r="E177" s="2"/>
    </row>
    <row r="178" spans="5:5" x14ac:dyDescent="0.25">
      <c r="E178" s="2"/>
    </row>
    <row r="179" spans="5:5" x14ac:dyDescent="0.25">
      <c r="E179" s="2"/>
    </row>
    <row r="180" spans="5:5" x14ac:dyDescent="0.25">
      <c r="E180" s="2"/>
    </row>
    <row r="181" spans="5:5" x14ac:dyDescent="0.25">
      <c r="E181" s="2"/>
    </row>
    <row r="182" spans="5:5" x14ac:dyDescent="0.25">
      <c r="E182" s="2"/>
    </row>
    <row r="183" spans="5:5" x14ac:dyDescent="0.25">
      <c r="E183" s="2"/>
    </row>
    <row r="184" spans="5:5" x14ac:dyDescent="0.25">
      <c r="E184" s="2"/>
    </row>
    <row r="185" spans="5:5" x14ac:dyDescent="0.25">
      <c r="E185" s="2"/>
    </row>
    <row r="186" spans="5:5" x14ac:dyDescent="0.25">
      <c r="E186" s="2"/>
    </row>
    <row r="187" spans="5:5" x14ac:dyDescent="0.25">
      <c r="E187" s="2"/>
    </row>
    <row r="188" spans="5:5" x14ac:dyDescent="0.25">
      <c r="E188" s="2"/>
    </row>
    <row r="189" spans="5:5" x14ac:dyDescent="0.25">
      <c r="E189" s="2"/>
    </row>
    <row r="190" spans="5:5" x14ac:dyDescent="0.25">
      <c r="E190" s="2"/>
    </row>
    <row r="191" spans="5:5" x14ac:dyDescent="0.25">
      <c r="E191" s="2"/>
    </row>
    <row r="192" spans="5:5" x14ac:dyDescent="0.25">
      <c r="E192" s="2"/>
    </row>
    <row r="193" spans="5:5" x14ac:dyDescent="0.25">
      <c r="E193" s="2"/>
    </row>
    <row r="194" spans="5:5" x14ac:dyDescent="0.25">
      <c r="E194" s="2"/>
    </row>
    <row r="195" spans="5:5" x14ac:dyDescent="0.25">
      <c r="E195" s="2"/>
    </row>
    <row r="196" spans="5:5" x14ac:dyDescent="0.25">
      <c r="E196" s="2"/>
    </row>
    <row r="197" spans="5:5" x14ac:dyDescent="0.25">
      <c r="E197" s="2"/>
    </row>
    <row r="198" spans="5:5" x14ac:dyDescent="0.25">
      <c r="E198" s="2"/>
    </row>
    <row r="199" spans="5:5" x14ac:dyDescent="0.25">
      <c r="E199" s="2"/>
    </row>
    <row r="200" spans="5:5" x14ac:dyDescent="0.25">
      <c r="E200" s="2"/>
    </row>
    <row r="201" spans="5:5" x14ac:dyDescent="0.25">
      <c r="E201" s="2"/>
    </row>
    <row r="202" spans="5:5" x14ac:dyDescent="0.25">
      <c r="E202" s="2"/>
    </row>
    <row r="203" spans="5:5" x14ac:dyDescent="0.25">
      <c r="E203" s="2"/>
    </row>
    <row r="204" spans="5:5" x14ac:dyDescent="0.25">
      <c r="E204" s="2"/>
    </row>
    <row r="205" spans="5:5" x14ac:dyDescent="0.25">
      <c r="E205" s="2"/>
    </row>
    <row r="206" spans="5:5" x14ac:dyDescent="0.25">
      <c r="E206" s="2"/>
    </row>
    <row r="207" spans="5:5" x14ac:dyDescent="0.25">
      <c r="E207" s="2"/>
    </row>
    <row r="208" spans="5:5" x14ac:dyDescent="0.25">
      <c r="E208" s="2"/>
    </row>
    <row r="209" spans="5:5" x14ac:dyDescent="0.25">
      <c r="E209" s="2"/>
    </row>
    <row r="210" spans="5:5" x14ac:dyDescent="0.25">
      <c r="E210" s="2"/>
    </row>
    <row r="211" spans="5:5" x14ac:dyDescent="0.25">
      <c r="E211" s="2"/>
    </row>
    <row r="212" spans="5:5" x14ac:dyDescent="0.25">
      <c r="E212" s="2"/>
    </row>
    <row r="213" spans="5:5" x14ac:dyDescent="0.25">
      <c r="E213" s="2"/>
    </row>
    <row r="214" spans="5:5" x14ac:dyDescent="0.25">
      <c r="E214" s="2"/>
    </row>
    <row r="215" spans="5:5" x14ac:dyDescent="0.25">
      <c r="E215" s="2"/>
    </row>
    <row r="216" spans="5:5" x14ac:dyDescent="0.25">
      <c r="E216" s="2"/>
    </row>
    <row r="217" spans="5:5" x14ac:dyDescent="0.25">
      <c r="E217" s="2"/>
    </row>
    <row r="218" spans="5:5" x14ac:dyDescent="0.25">
      <c r="E218" s="2"/>
    </row>
    <row r="219" spans="5:5" x14ac:dyDescent="0.25">
      <c r="E219" s="2"/>
    </row>
    <row r="220" spans="5:5" x14ac:dyDescent="0.25">
      <c r="E220" s="2"/>
    </row>
    <row r="221" spans="5:5" x14ac:dyDescent="0.25">
      <c r="E221" s="2"/>
    </row>
    <row r="222" spans="5:5" x14ac:dyDescent="0.25">
      <c r="E222" s="2"/>
    </row>
    <row r="223" spans="5:5" x14ac:dyDescent="0.25">
      <c r="E223" s="2"/>
    </row>
    <row r="224" spans="5:5" x14ac:dyDescent="0.25">
      <c r="E224" s="2"/>
    </row>
    <row r="225" spans="5:5" x14ac:dyDescent="0.25">
      <c r="E225" s="2"/>
    </row>
    <row r="226" spans="5:5" x14ac:dyDescent="0.25">
      <c r="E226" s="2"/>
    </row>
    <row r="227" spans="5:5" x14ac:dyDescent="0.25">
      <c r="E227" s="2"/>
    </row>
    <row r="228" spans="5:5" x14ac:dyDescent="0.25">
      <c r="E228" s="2"/>
    </row>
    <row r="229" spans="5:5" x14ac:dyDescent="0.25">
      <c r="E229" s="2"/>
    </row>
    <row r="230" spans="5:5" x14ac:dyDescent="0.25">
      <c r="E230" s="2"/>
    </row>
    <row r="231" spans="5:5" x14ac:dyDescent="0.25">
      <c r="E231" s="2"/>
    </row>
    <row r="232" spans="5:5" x14ac:dyDescent="0.25">
      <c r="E232" s="2"/>
    </row>
    <row r="233" spans="5:5" x14ac:dyDescent="0.25">
      <c r="E233" s="2"/>
    </row>
    <row r="234" spans="5:5" x14ac:dyDescent="0.25">
      <c r="E234" s="2"/>
    </row>
    <row r="235" spans="5:5" x14ac:dyDescent="0.25">
      <c r="E235" s="2"/>
    </row>
    <row r="236" spans="5:5" x14ac:dyDescent="0.25">
      <c r="E236" s="2"/>
    </row>
    <row r="237" spans="5:5" x14ac:dyDescent="0.25">
      <c r="E237" s="2"/>
    </row>
    <row r="238" spans="5:5" x14ac:dyDescent="0.25">
      <c r="E238" s="2"/>
    </row>
    <row r="239" spans="5:5" x14ac:dyDescent="0.25">
      <c r="E239" s="2"/>
    </row>
    <row r="240" spans="5:5" x14ac:dyDescent="0.25">
      <c r="E240" s="2"/>
    </row>
    <row r="241" spans="5:5" x14ac:dyDescent="0.25">
      <c r="E241" s="2"/>
    </row>
    <row r="242" spans="5:5" x14ac:dyDescent="0.25">
      <c r="E242" s="2"/>
    </row>
    <row r="243" spans="5:5" x14ac:dyDescent="0.25">
      <c r="E243" s="2"/>
    </row>
    <row r="244" spans="5:5" x14ac:dyDescent="0.25">
      <c r="E244" s="2"/>
    </row>
    <row r="245" spans="5:5" x14ac:dyDescent="0.25">
      <c r="E245" s="2"/>
    </row>
    <row r="246" spans="5:5" x14ac:dyDescent="0.25">
      <c r="E246" s="2"/>
    </row>
    <row r="247" spans="5:5" x14ac:dyDescent="0.25">
      <c r="E247" s="2"/>
    </row>
    <row r="248" spans="5:5" x14ac:dyDescent="0.25">
      <c r="E248" s="2"/>
    </row>
    <row r="249" spans="5:5" x14ac:dyDescent="0.25">
      <c r="E249" s="2"/>
    </row>
    <row r="250" spans="5:5" x14ac:dyDescent="0.25">
      <c r="E250" s="2"/>
    </row>
    <row r="251" spans="5:5" x14ac:dyDescent="0.25">
      <c r="E251" s="2"/>
    </row>
    <row r="252" spans="5:5" x14ac:dyDescent="0.25">
      <c r="E252" s="2"/>
    </row>
    <row r="253" spans="5:5" x14ac:dyDescent="0.25">
      <c r="E253" s="2"/>
    </row>
    <row r="254" spans="5:5" x14ac:dyDescent="0.25">
      <c r="E254" s="2"/>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499984740745262"/>
  </sheetPr>
  <dimension ref="A1:E1"/>
  <sheetViews>
    <sheetView workbookViewId="0">
      <pane ySplit="1" topLeftCell="A2" activePane="bottomLeft" state="frozen"/>
      <selection pane="bottomLeft" activeCell="A2" sqref="A2"/>
    </sheetView>
  </sheetViews>
  <sheetFormatPr defaultColWidth="8.75" defaultRowHeight="15" x14ac:dyDescent="0.25"/>
  <cols>
    <col min="1" max="5" width="17.875" customWidth="1"/>
  </cols>
  <sheetData>
    <row r="1" spans="1:5" x14ac:dyDescent="0.25">
      <c r="A1" s="1" t="s">
        <v>4</v>
      </c>
      <c r="B1" s="1" t="s">
        <v>6</v>
      </c>
      <c r="C1" s="1" t="s">
        <v>1</v>
      </c>
      <c r="D1" s="1" t="s">
        <v>9</v>
      </c>
      <c r="E1" s="1" t="s">
        <v>14</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4B2FD-B546-446E-B539-AF145A988915}">
  <sheetPr>
    <tabColor theme="4"/>
  </sheetPr>
  <dimension ref="A1:J3"/>
  <sheetViews>
    <sheetView showGridLines="0" workbookViewId="0">
      <selection activeCell="I1" sqref="I1"/>
    </sheetView>
  </sheetViews>
  <sheetFormatPr defaultRowHeight="15" x14ac:dyDescent="0.25"/>
  <cols>
    <col min="1" max="1" width="13.75" bestFit="1" customWidth="1"/>
    <col min="2" max="2" width="11.125" bestFit="1" customWidth="1"/>
    <col min="3" max="3" width="12.375" bestFit="1" customWidth="1"/>
    <col min="4" max="4" width="11.125" bestFit="1" customWidth="1"/>
    <col min="5" max="5" width="5.5" bestFit="1" customWidth="1"/>
    <col min="6" max="6" width="14.125" bestFit="1" customWidth="1"/>
    <col min="7" max="7" width="14.75" bestFit="1" customWidth="1"/>
    <col min="9" max="9" width="12.625" bestFit="1" customWidth="1"/>
    <col min="10" max="10" width="19.375" bestFit="1" customWidth="1"/>
  </cols>
  <sheetData>
    <row r="1" spans="1:10" x14ac:dyDescent="0.25">
      <c r="A1" t="s">
        <v>26</v>
      </c>
      <c r="B1" t="s">
        <v>1</v>
      </c>
      <c r="C1" t="s">
        <v>6</v>
      </c>
      <c r="D1" t="s">
        <v>9</v>
      </c>
      <c r="E1" t="s">
        <v>155</v>
      </c>
      <c r="F1" t="s">
        <v>14</v>
      </c>
      <c r="G1" t="s">
        <v>156</v>
      </c>
      <c r="I1" s="7" t="s">
        <v>30</v>
      </c>
      <c r="J1" t="s">
        <v>157</v>
      </c>
    </row>
    <row r="2" spans="1:10" x14ac:dyDescent="0.25">
      <c r="A2" s="30"/>
      <c r="I2" s="31" t="s">
        <v>159</v>
      </c>
      <c r="J2" s="35"/>
    </row>
    <row r="3" spans="1:10" x14ac:dyDescent="0.25">
      <c r="I3" s="31" t="s">
        <v>31</v>
      </c>
      <c r="J3" s="35"/>
    </row>
  </sheetData>
  <pageMargins left="0.7" right="0.7" top="0.75" bottom="0.75" header="0.3" footer="0.3"/>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3AF19-F330-408B-A433-61397A2E53BA}">
  <sheetPr>
    <tabColor theme="4"/>
  </sheetPr>
  <dimension ref="C1:O29"/>
  <sheetViews>
    <sheetView workbookViewId="0">
      <selection activeCell="C3" sqref="C3"/>
    </sheetView>
  </sheetViews>
  <sheetFormatPr defaultRowHeight="15" x14ac:dyDescent="0.25"/>
  <cols>
    <col min="1" max="1" width="12.625" bestFit="1" customWidth="1"/>
    <col min="2" max="2" width="16.625" bestFit="1" customWidth="1"/>
    <col min="3" max="3" width="12.625" bestFit="1" customWidth="1"/>
    <col min="4" max="4" width="16.875" bestFit="1" customWidth="1"/>
    <col min="5" max="5" width="21.625" bestFit="1" customWidth="1"/>
    <col min="6" max="6" width="16.875" bestFit="1" customWidth="1"/>
    <col min="7" max="7" width="12.625" bestFit="1" customWidth="1"/>
    <col min="8" max="8" width="16.875" bestFit="1" customWidth="1"/>
    <col min="9" max="9" width="21.625" bestFit="1" customWidth="1"/>
    <col min="10" max="11" width="15.25" bestFit="1" customWidth="1"/>
    <col min="14" max="14" width="12.625" bestFit="1" customWidth="1"/>
    <col min="15" max="15" width="16.875" style="3" bestFit="1" customWidth="1"/>
    <col min="16" max="16" width="16.625" bestFit="1" customWidth="1"/>
    <col min="18" max="18" width="12.625" bestFit="1" customWidth="1"/>
    <col min="19" max="19" width="16.875" bestFit="1" customWidth="1"/>
  </cols>
  <sheetData>
    <row r="1" spans="3:15" x14ac:dyDescent="0.25">
      <c r="C1" t="s">
        <v>36</v>
      </c>
      <c r="G1" t="s">
        <v>39</v>
      </c>
    </row>
    <row r="3" spans="3:15" x14ac:dyDescent="0.25">
      <c r="C3" s="7" t="s">
        <v>30</v>
      </c>
      <c r="D3" t="s">
        <v>32</v>
      </c>
      <c r="G3" s="7" t="s">
        <v>30</v>
      </c>
      <c r="H3" t="s">
        <v>33</v>
      </c>
    </row>
    <row r="4" spans="3:15" x14ac:dyDescent="0.25">
      <c r="C4" s="8" t="s">
        <v>159</v>
      </c>
      <c r="D4" s="14"/>
      <c r="G4" s="8" t="s">
        <v>31</v>
      </c>
      <c r="H4" s="35">
        <v>0</v>
      </c>
    </row>
    <row r="5" spans="3:15" x14ac:dyDescent="0.25">
      <c r="C5" s="8" t="s">
        <v>31</v>
      </c>
      <c r="D5" s="14"/>
    </row>
    <row r="10" spans="3:15" x14ac:dyDescent="0.25">
      <c r="O10"/>
    </row>
    <row r="11" spans="3:15" x14ac:dyDescent="0.25">
      <c r="O11"/>
    </row>
    <row r="12" spans="3:15" x14ac:dyDescent="0.25">
      <c r="O12"/>
    </row>
    <row r="13" spans="3:15" x14ac:dyDescent="0.25">
      <c r="C13" t="s">
        <v>35</v>
      </c>
      <c r="D13" s="3"/>
      <c r="G13" t="s">
        <v>37</v>
      </c>
      <c r="O13"/>
    </row>
    <row r="14" spans="3:15" x14ac:dyDescent="0.25">
      <c r="D14" s="3"/>
      <c r="O14"/>
    </row>
    <row r="15" spans="3:15" x14ac:dyDescent="0.25">
      <c r="C15" s="7" t="s">
        <v>30</v>
      </c>
      <c r="D15" t="s">
        <v>34</v>
      </c>
      <c r="E15" s="15" t="s">
        <v>40</v>
      </c>
      <c r="F15" s="15"/>
      <c r="G15" s="7" t="s">
        <v>30</v>
      </c>
      <c r="H15" t="s">
        <v>34</v>
      </c>
      <c r="I15" t="s">
        <v>40</v>
      </c>
      <c r="O15"/>
    </row>
    <row r="16" spans="3:15" x14ac:dyDescent="0.25">
      <c r="C16" s="8" t="s">
        <v>159</v>
      </c>
      <c r="D16" s="14"/>
      <c r="E16" s="15"/>
      <c r="F16" s="15"/>
      <c r="G16" s="8" t="s">
        <v>159</v>
      </c>
      <c r="H16" s="14"/>
      <c r="I16" s="15"/>
      <c r="O16"/>
    </row>
    <row r="17" spans="3:15" x14ac:dyDescent="0.25">
      <c r="C17" s="8" t="s">
        <v>31</v>
      </c>
      <c r="D17" s="14"/>
      <c r="E17" s="15"/>
      <c r="F17" s="15"/>
      <c r="G17" s="8" t="s">
        <v>31</v>
      </c>
      <c r="H17" s="14"/>
      <c r="I17" s="15"/>
      <c r="O17"/>
    </row>
    <row r="18" spans="3:15" x14ac:dyDescent="0.25">
      <c r="F18" s="15"/>
      <c r="O18"/>
    </row>
    <row r="19" spans="3:15" x14ac:dyDescent="0.25">
      <c r="F19" s="15"/>
      <c r="O19"/>
    </row>
    <row r="20" spans="3:15" x14ac:dyDescent="0.25">
      <c r="F20" s="15"/>
      <c r="O20"/>
    </row>
    <row r="21" spans="3:15" x14ac:dyDescent="0.25">
      <c r="F21" s="15"/>
      <c r="O21"/>
    </row>
    <row r="22" spans="3:15" x14ac:dyDescent="0.25">
      <c r="O22"/>
    </row>
    <row r="23" spans="3:15" x14ac:dyDescent="0.25">
      <c r="O23"/>
    </row>
    <row r="24" spans="3:15" x14ac:dyDescent="0.25">
      <c r="O24"/>
    </row>
    <row r="26" spans="3:15" x14ac:dyDescent="0.25">
      <c r="C26" t="s">
        <v>41</v>
      </c>
    </row>
    <row r="28" spans="3:15" x14ac:dyDescent="0.25">
      <c r="C28" t="s">
        <v>32</v>
      </c>
      <c r="D28" t="s">
        <v>42</v>
      </c>
      <c r="E28" t="s">
        <v>33</v>
      </c>
      <c r="F28" t="s">
        <v>34</v>
      </c>
    </row>
    <row r="29" spans="3:15" x14ac:dyDescent="0.25">
      <c r="C29" s="14"/>
      <c r="D29" s="14"/>
      <c r="E29" s="14"/>
      <c r="F29" s="14"/>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AF224-7C69-4208-9AB7-6EA25A4125D1}">
  <sheetPr>
    <tabColor theme="4"/>
  </sheetPr>
  <dimension ref="A1:U2"/>
  <sheetViews>
    <sheetView workbookViewId="0">
      <selection sqref="A1:S24"/>
    </sheetView>
  </sheetViews>
  <sheetFormatPr defaultRowHeight="15" x14ac:dyDescent="0.25"/>
  <cols>
    <col min="1" max="1" width="8" bestFit="1" customWidth="1"/>
    <col min="2" max="2" width="11.125" bestFit="1" customWidth="1"/>
    <col min="3" max="3" width="17.5" bestFit="1" customWidth="1"/>
    <col min="4" max="4" width="22.25" bestFit="1" customWidth="1"/>
    <col min="5" max="5" width="9.25" bestFit="1" customWidth="1"/>
    <col min="6" max="6" width="14.375" bestFit="1" customWidth="1"/>
    <col min="7" max="7" width="12.375" bestFit="1" customWidth="1"/>
    <col min="8" max="8" width="7.375" bestFit="1" customWidth="1"/>
    <col min="9" max="9" width="11.5" bestFit="1" customWidth="1"/>
    <col min="10" max="10" width="11.125" bestFit="1" customWidth="1"/>
    <col min="11" max="11" width="8.75" bestFit="1" customWidth="1"/>
    <col min="12" max="12" width="15.75" bestFit="1" customWidth="1"/>
    <col min="13" max="13" width="9.875" bestFit="1" customWidth="1"/>
    <col min="14" max="14" width="16.375" bestFit="1" customWidth="1"/>
    <col min="15" max="15" width="14.125" bestFit="1" customWidth="1"/>
    <col min="16" max="16" width="12.125" bestFit="1" customWidth="1"/>
    <col min="17" max="17" width="12.375" bestFit="1" customWidth="1"/>
    <col min="18" max="18" width="14" bestFit="1" customWidth="1"/>
    <col min="19" max="19" width="16.75" bestFit="1" customWidth="1"/>
    <col min="20" max="20" width="15" bestFit="1" customWidth="1"/>
    <col min="21" max="21" width="22"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160</v>
      </c>
      <c r="U1" t="s">
        <v>161</v>
      </c>
    </row>
    <row r="2" spans="1:21" x14ac:dyDescent="0.25">
      <c r="K2" t="s">
        <v>38</v>
      </c>
      <c r="R2" s="4"/>
      <c r="T2" s="35"/>
      <c r="U2" s="35"/>
    </row>
  </sheetData>
  <phoneticPr fontId="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8EB9DD-52F7-E542-921D-E6B9B5BFB4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About</vt:lpstr>
      <vt:lpstr>Dashboard</vt:lpstr>
      <vt:lpstr>Sets Ranked</vt:lpstr>
      <vt:lpstr>Cards Ranked</vt:lpstr>
      <vt:lpstr>Upgrade Cost</vt:lpstr>
      <vt:lpstr>Collection Details</vt:lpstr>
      <vt:lpstr>Condition Multipliers</vt:lpstr>
      <vt:lpstr>Historic Prices</vt:lpstr>
      <vt:lpstr>Card Prices</vt:lpstr>
      <vt:lpstr>qHistoricValue</vt:lpstr>
      <vt:lpstr>Dashboard Drivers</vt:lpstr>
      <vt:lpstr>Data</vt:lpstr>
      <vt:lpstr>PricingStrategy</vt:lpstr>
      <vt:lpstr>TargetCondition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Nicholas Licalsi</cp:lastModifiedBy>
  <dcterms:created xsi:type="dcterms:W3CDTF">2026-05-03T22:13:56Z</dcterms:created>
  <dcterms:modified xsi:type="dcterms:W3CDTF">2026-08-07T16:17:14Z</dcterms:modified>
</cp:coreProperties>
</file>